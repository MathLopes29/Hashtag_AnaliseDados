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7C207C16-A38B-4831-8C18-AD706B7C7ECA}" xr6:coauthVersionLast="47" xr6:coauthVersionMax="47" xr10:uidLastSave="{00000000-0000-0000-0000-000000000000}"/>
  <bookViews>
    <workbookView xWindow="-108" yWindow="-108" windowWidth="23256" windowHeight="13176" xr2:uid="{55AB9A31-D1B7-40A1-BDA1-EA283A868137}"/>
  </bookViews>
  <sheets>
    <sheet name="Funcionários" sheetId="1" r:id="rId1"/>
  </sheets>
  <definedNames>
    <definedName name="_xlnm._FilterDatabase" localSheetId="0" hidden="1">Funcionários!$B$2:$D$52</definedName>
    <definedName name="_xlnm.Extract" localSheetId="0">Funcionários!#REF!</definedName>
    <definedName name="_xlnm.Criteria" localSheetId="0">Funcionários!$H$2:$I$3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R2" i="1" a="1"/>
  <c r="R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<sst xmlns="http://schemas.openxmlformats.org/spreadsheetml/2006/main" count="168" uniqueCount="71">
  <si>
    <t>Nome</t>
  </si>
  <si>
    <t>Área</t>
  </si>
  <si>
    <t>RH</t>
  </si>
  <si>
    <t>Marketing</t>
  </si>
  <si>
    <t>Administrativo</t>
  </si>
  <si>
    <t>Logística</t>
  </si>
  <si>
    <t>Compras</t>
  </si>
  <si>
    <t>Financeiro</t>
  </si>
  <si>
    <t>Adriana de Azevedo</t>
  </si>
  <si>
    <t>Allan Paes de Sousa Guedes</t>
  </si>
  <si>
    <t>Ana Melo Soledade</t>
  </si>
  <si>
    <t>Andressa Dias Nóbrega</t>
  </si>
  <si>
    <t>Arthur Roale Baptista Pereira</t>
  </si>
  <si>
    <t>Beatriz Salles Rodrigues</t>
  </si>
  <si>
    <t>Breno Quinto</t>
  </si>
  <si>
    <t>Bruno Dalforne</t>
  </si>
  <si>
    <t>Caio Rodrigues Chaves</t>
  </si>
  <si>
    <t>Carolina Azevedo Moura</t>
  </si>
  <si>
    <t>Chan Verly</t>
  </si>
  <si>
    <t>David de Assumpção</t>
  </si>
  <si>
    <t>Eduardo Silva Pereira</t>
  </si>
  <si>
    <t>Felipe Sousa Sirqueira Júnior</t>
  </si>
  <si>
    <t>Gabriel Miranda de Assis</t>
  </si>
  <si>
    <t>Gabrielle Costa Abrahão</t>
  </si>
  <si>
    <t>Guilherme Bell de Oliveira Lima</t>
  </si>
  <si>
    <t>Hanna Avelar</t>
  </si>
  <si>
    <t>Isabel Valadão</t>
  </si>
  <si>
    <t>Jaqueline Almeida Silveira</t>
  </si>
  <si>
    <t>João de Almeida</t>
  </si>
  <si>
    <t>João Yassuda</t>
  </si>
  <si>
    <t>Julia Essaber</t>
  </si>
  <si>
    <t>Karine Croix Barros</t>
  </si>
  <si>
    <t>Lázaro vieira Martins</t>
  </si>
  <si>
    <t>Luana da Silva</t>
  </si>
  <si>
    <t>Lucas Rocha de Carvalho</t>
  </si>
  <si>
    <t>Luiz Marinho</t>
  </si>
  <si>
    <t>Marcela Medeiros</t>
  </si>
  <si>
    <t>Mariana Baptista</t>
  </si>
  <si>
    <t>Marina Roale Baptista Pereira</t>
  </si>
  <si>
    <t>Matheus Ramos</t>
  </si>
  <si>
    <t>Myllena Carneiro</t>
  </si>
  <si>
    <t>Paola Abreu</t>
  </si>
  <si>
    <t>Pedro Costa Abrahão</t>
  </si>
  <si>
    <t>Pedro Ferreira Xavier</t>
  </si>
  <si>
    <t>Priscila Garcia</t>
  </si>
  <si>
    <t>Rafael Brito Junior</t>
  </si>
  <si>
    <t>Rafaela Rodrigues de Oliveira</t>
  </si>
  <si>
    <t>Raíssa Lasmar Duarte</t>
  </si>
  <si>
    <t>Raphael Kurtz</t>
  </si>
  <si>
    <t>Renan Cunha</t>
  </si>
  <si>
    <t>Roberto de Mattos</t>
  </si>
  <si>
    <t>Rodrigo Guimarães</t>
  </si>
  <si>
    <t>Sandy Cardillofilho Neiva Moreira</t>
  </si>
  <si>
    <t>Stela Nauenberg</t>
  </si>
  <si>
    <t>Thaís Azevedo Moura</t>
  </si>
  <si>
    <t>Thamires Oliveira de Mello Silva</t>
  </si>
  <si>
    <t>Thomáz Vannier</t>
  </si>
  <si>
    <t xml:space="preserve">Victor Azeredo Coutinho Freire     </t>
  </si>
  <si>
    <t>Gerente 2</t>
  </si>
  <si>
    <t>Estagiário 1</t>
  </si>
  <si>
    <t>Estagiário 2</t>
  </si>
  <si>
    <t>Analista Senior</t>
  </si>
  <si>
    <t>Coordenador 2</t>
  </si>
  <si>
    <t>Coordenador 1</t>
  </si>
  <si>
    <t>Analista Pleno</t>
  </si>
  <si>
    <t>Jovem Aprendiz</t>
  </si>
  <si>
    <t>Gerente 3</t>
  </si>
  <si>
    <t>Rio de Janeiro</t>
  </si>
  <si>
    <t>São Paulo</t>
  </si>
  <si>
    <t>Minas Gerais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</si>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</sst>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37A3-E6D9-4DB6-B185-AD1E0FD639E2}">
  <sheetPr codeName="Planilha1"/>
  <dimension ref="B1:S52"/>
  <sheetViews>
    <sheetView showGridLines="0" tabSelected="1" zoomScale="115" zoomScaleNormal="115" workbookViewId="0">
      <selection activeCell="F8" sqref="F8"/>
    </sheetView>
  </sheetViews>
  <sheetFormatPr defaultRowHeight="14.4" x14ac:dyDescent="0.3"/>
  <cols>
    <col min="1" max="1" width="0.5546875" customWidth="1"/>
    <col min="2" max="2" width="31.44140625" bestFit="1" customWidth="1"/>
    <col min="3" max="3" width="13.5546875" bestFit="1" customWidth="1"/>
    <col min="4" max="4" width="14.33203125" bestFit="1" customWidth="1"/>
    <col min="6" max="6" width="14.33203125" bestFit="1" customWidth="1"/>
    <col min="7" max="7" width="14.33203125" customWidth="1"/>
    <col min="8" max="8" width="31.44140625" customWidth="1"/>
    <col min="9" max="10" width="15.109375" customWidth="1"/>
    <col min="11" max="11" width="25.6640625" customWidth="1"/>
    <col min="12" max="12" width="13.5546875" bestFit="1" customWidth="1"/>
    <col min="13" max="13" width="12.6640625" customWidth="1"/>
    <col min="14" max="14" width="14.6640625" customWidth="1"/>
    <col min="15" max="15" width="13.88671875" customWidth="1"/>
    <col min="16" max="17" width="13.5546875" customWidth="1"/>
    <col min="18" max="18" width="14.33203125" bestFit="1" customWidth="1"/>
    <col min="19" max="19" width="15.33203125" bestFit="1" customWidth="1"/>
  </cols>
  <sheetData>
    <row r="1" spans="2:19" ht="3" customHeight="1" thickBot="1" x14ac:dyDescent="0.35"/>
    <row r="2" spans="2:19" ht="15" thickBot="1" x14ac:dyDescent="0.35">
      <c r="B2" s="3" t="s">
        <v>0</v>
      </c>
      <c r="C2" s="4" t="s">
        <v>70</v>
      </c>
      <c r="D2" s="4" t="s">
        <v>1</v>
      </c>
      <c r="F2" s="4" t="s">
        <v>1</v>
      </c>
      <c r="G2" s="4" t="s">
        <v>70</v>
      </c>
      <c r="H2" s="4" t="s">
        <v>0</v>
      </c>
      <c r="Q2" t="s">
        <v>4</v>
      </c>
      <c r="R2" t="str" cm="1">
        <f t="array" ref="R2:R7">_xlfn._xlws.SORT(_xlfn.UNIQUE(D3:D52))</f>
        <v>Administrativo</v>
      </c>
    </row>
    <row r="3" spans="2:19" x14ac:dyDescent="0.3">
      <c r="B3" s="2" t="s">
        <v>8</v>
      </c>
      <c r="C3" s="1" t="s">
        <v>69</v>
      </c>
      <c r="D3" s="1" t="s">
        <v>6</v>
      </c>
      <c r="F3" t="s">
        <v>7</v>
      </c>
      <c r="G3" t="s">
        <v>67</v>
      </c>
      <c r="H3" t="str" cm="1">
        <f t="array" ref="H3:H7">_xlfn._xlws.FILTER(B3:B52,(D3:D52=F3)*(C3:C52=G3))</f>
        <v>Chan Verly</v>
      </c>
      <c r="R3" t="str">
        <v>Compras</v>
      </c>
      <c r="S3" t="s">
        <v>64</v>
      </c>
    </row>
    <row r="4" spans="2:19" x14ac:dyDescent="0.3">
      <c r="B4" s="2" t="s">
        <v>9</v>
      </c>
      <c r="C4" s="1" t="s">
        <v>68</v>
      </c>
      <c r="D4" s="1" t="s">
        <v>7</v>
      </c>
      <c r="H4" t="str">
        <v>Marcela Medeiros</v>
      </c>
      <c r="R4" t="str">
        <v>Financeiro</v>
      </c>
      <c r="S4" t="s">
        <v>61</v>
      </c>
    </row>
    <row r="5" spans="2:19" x14ac:dyDescent="0.3">
      <c r="B5" s="2" t="s">
        <v>10</v>
      </c>
      <c r="C5" s="1" t="s">
        <v>67</v>
      </c>
      <c r="D5" s="1" t="s">
        <v>6</v>
      </c>
      <c r="H5" t="str">
        <v>Myllena Carneiro</v>
      </c>
      <c r="R5" t="str">
        <v>Logística</v>
      </c>
      <c r="S5" t="s">
        <v>63</v>
      </c>
    </row>
    <row r="6" spans="2:19" x14ac:dyDescent="0.3">
      <c r="B6" s="2" t="s">
        <v>11</v>
      </c>
      <c r="C6" s="1" t="s">
        <v>68</v>
      </c>
      <c r="D6" s="1" t="s">
        <v>4</v>
      </c>
      <c r="H6" t="str">
        <v>Rodrigo Guimarães</v>
      </c>
      <c r="R6" t="str">
        <v>Marketing</v>
      </c>
      <c r="S6" t="s">
        <v>62</v>
      </c>
    </row>
    <row r="7" spans="2:19" x14ac:dyDescent="0.3">
      <c r="B7" s="2" t="s">
        <v>12</v>
      </c>
      <c r="C7" s="1" t="s">
        <v>67</v>
      </c>
      <c r="D7" s="1" t="s">
        <v>3</v>
      </c>
      <c r="H7" t="str">
        <v>Stela Nauenberg</v>
      </c>
      <c r="R7" t="str">
        <v>RH</v>
      </c>
      <c r="S7" t="s">
        <v>59</v>
      </c>
    </row>
    <row r="8" spans="2:19" x14ac:dyDescent="0.3">
      <c r="B8" s="2" t="s">
        <v>13</v>
      </c>
      <c r="C8" s="1" t="s">
        <v>67</v>
      </c>
      <c r="D8" s="1" t="s">
        <v>2</v>
      </c>
      <c r="S8" t="s">
        <v>60</v>
      </c>
    </row>
    <row r="9" spans="2:19" x14ac:dyDescent="0.3">
      <c r="B9" s="2" t="s">
        <v>14</v>
      </c>
      <c r="C9" s="1" t="s">
        <v>69</v>
      </c>
      <c r="D9" s="1" t="s">
        <v>4</v>
      </c>
      <c r="S9" t="s">
        <v>58</v>
      </c>
    </row>
    <row r="10" spans="2:19" x14ac:dyDescent="0.3">
      <c r="B10" s="2" t="s">
        <v>15</v>
      </c>
      <c r="C10" s="1" t="s">
        <v>68</v>
      </c>
      <c r="D10" s="1" t="s">
        <v>4</v>
      </c>
      <c r="S10" t="s">
        <v>66</v>
      </c>
    </row>
    <row r="11" spans="2:19" x14ac:dyDescent="0.3">
      <c r="B11" s="2" t="s">
        <v>16</v>
      </c>
      <c r="C11" s="1" t="s">
        <v>69</v>
      </c>
      <c r="D11" s="1" t="s">
        <v>7</v>
      </c>
      <c r="S11" t="s">
        <v>65</v>
      </c>
    </row>
    <row r="12" spans="2:19" x14ac:dyDescent="0.3">
      <c r="B12" s="2" t="s">
        <v>17</v>
      </c>
      <c r="C12" s="1" t="s">
        <v>69</v>
      </c>
      <c r="D12" s="1" t="s">
        <v>3</v>
      </c>
    </row>
    <row r="13" spans="2:19" x14ac:dyDescent="0.3">
      <c r="B13" s="2" t="s">
        <v>18</v>
      </c>
      <c r="C13" s="1" t="s">
        <v>67</v>
      </c>
      <c r="D13" s="1" t="s">
        <v>7</v>
      </c>
    </row>
    <row r="14" spans="2:19" x14ac:dyDescent="0.3">
      <c r="B14" s="2" t="s">
        <v>19</v>
      </c>
      <c r="C14" s="1" t="s">
        <v>68</v>
      </c>
      <c r="D14" s="1" t="s">
        <v>6</v>
      </c>
    </row>
    <row r="15" spans="2:19" x14ac:dyDescent="0.3">
      <c r="B15" s="2" t="s">
        <v>20</v>
      </c>
      <c r="C15" s="1" t="s">
        <v>67</v>
      </c>
      <c r="D15" s="1" t="s">
        <v>6</v>
      </c>
    </row>
    <row r="16" spans="2:19" x14ac:dyDescent="0.3">
      <c r="B16" s="2" t="s">
        <v>21</v>
      </c>
      <c r="C16" s="1" t="s">
        <v>67</v>
      </c>
      <c r="D16" s="1" t="s">
        <v>4</v>
      </c>
    </row>
    <row r="17" spans="2:4" x14ac:dyDescent="0.3">
      <c r="B17" s="2" t="s">
        <v>22</v>
      </c>
      <c r="C17" s="1" t="s">
        <v>68</v>
      </c>
      <c r="D17" s="1" t="s">
        <v>5</v>
      </c>
    </row>
    <row r="18" spans="2:4" x14ac:dyDescent="0.3">
      <c r="B18" s="2" t="s">
        <v>23</v>
      </c>
      <c r="C18" s="1" t="s">
        <v>69</v>
      </c>
      <c r="D18" s="1" t="s">
        <v>6</v>
      </c>
    </row>
    <row r="19" spans="2:4" x14ac:dyDescent="0.3">
      <c r="B19" s="2" t="s">
        <v>24</v>
      </c>
      <c r="C19" s="1" t="s">
        <v>69</v>
      </c>
      <c r="D19" s="1" t="s">
        <v>3</v>
      </c>
    </row>
    <row r="20" spans="2:4" x14ac:dyDescent="0.3">
      <c r="B20" s="2" t="s">
        <v>25</v>
      </c>
      <c r="C20" s="1" t="s">
        <v>69</v>
      </c>
      <c r="D20" s="1" t="s">
        <v>4</v>
      </c>
    </row>
    <row r="21" spans="2:4" x14ac:dyDescent="0.3">
      <c r="B21" s="2" t="s">
        <v>26</v>
      </c>
      <c r="C21" s="1" t="s">
        <v>67</v>
      </c>
      <c r="D21" s="1" t="s">
        <v>3</v>
      </c>
    </row>
    <row r="22" spans="2:4" x14ac:dyDescent="0.3">
      <c r="B22" s="2" t="s">
        <v>27</v>
      </c>
      <c r="C22" s="1" t="s">
        <v>68</v>
      </c>
      <c r="D22" s="1" t="s">
        <v>5</v>
      </c>
    </row>
    <row r="23" spans="2:4" x14ac:dyDescent="0.3">
      <c r="B23" s="2" t="s">
        <v>28</v>
      </c>
      <c r="C23" s="1" t="s">
        <v>67</v>
      </c>
      <c r="D23" s="1" t="s">
        <v>2</v>
      </c>
    </row>
    <row r="24" spans="2:4" x14ac:dyDescent="0.3">
      <c r="B24" s="2" t="s">
        <v>29</v>
      </c>
      <c r="C24" s="1" t="s">
        <v>67</v>
      </c>
      <c r="D24" s="1" t="s">
        <v>2</v>
      </c>
    </row>
    <row r="25" spans="2:4" x14ac:dyDescent="0.3">
      <c r="B25" s="2" t="s">
        <v>30</v>
      </c>
      <c r="C25" s="1" t="s">
        <v>69</v>
      </c>
      <c r="D25" s="1" t="s">
        <v>2</v>
      </c>
    </row>
    <row r="26" spans="2:4" x14ac:dyDescent="0.3">
      <c r="B26" s="2" t="s">
        <v>31</v>
      </c>
      <c r="C26" s="1" t="s">
        <v>68</v>
      </c>
      <c r="D26" s="1" t="s">
        <v>2</v>
      </c>
    </row>
    <row r="27" spans="2:4" x14ac:dyDescent="0.3">
      <c r="B27" s="2" t="s">
        <v>32</v>
      </c>
      <c r="C27" s="1" t="s">
        <v>69</v>
      </c>
      <c r="D27" s="1" t="s">
        <v>3</v>
      </c>
    </row>
    <row r="28" spans="2:4" x14ac:dyDescent="0.3">
      <c r="B28" s="2" t="s">
        <v>33</v>
      </c>
      <c r="C28" s="1" t="s">
        <v>68</v>
      </c>
      <c r="D28" s="1" t="s">
        <v>2</v>
      </c>
    </row>
    <row r="29" spans="2:4" x14ac:dyDescent="0.3">
      <c r="B29" s="2" t="s">
        <v>34</v>
      </c>
      <c r="C29" s="1" t="s">
        <v>67</v>
      </c>
      <c r="D29" s="1" t="s">
        <v>5</v>
      </c>
    </row>
    <row r="30" spans="2:4" x14ac:dyDescent="0.3">
      <c r="B30" s="2" t="s">
        <v>35</v>
      </c>
      <c r="C30" s="1" t="s">
        <v>67</v>
      </c>
      <c r="D30" s="1" t="s">
        <v>5</v>
      </c>
    </row>
    <row r="31" spans="2:4" x14ac:dyDescent="0.3">
      <c r="B31" s="2" t="s">
        <v>36</v>
      </c>
      <c r="C31" s="1" t="s">
        <v>67</v>
      </c>
      <c r="D31" s="1" t="s">
        <v>7</v>
      </c>
    </row>
    <row r="32" spans="2:4" x14ac:dyDescent="0.3">
      <c r="B32" s="2" t="s">
        <v>37</v>
      </c>
      <c r="C32" s="1" t="s">
        <v>68</v>
      </c>
      <c r="D32" s="1" t="s">
        <v>2</v>
      </c>
    </row>
    <row r="33" spans="2:4" x14ac:dyDescent="0.3">
      <c r="B33" s="2" t="s">
        <v>38</v>
      </c>
      <c r="C33" s="1" t="s">
        <v>67</v>
      </c>
      <c r="D33" s="1" t="s">
        <v>5</v>
      </c>
    </row>
    <row r="34" spans="2:4" x14ac:dyDescent="0.3">
      <c r="B34" s="2" t="s">
        <v>39</v>
      </c>
      <c r="C34" s="1" t="s">
        <v>68</v>
      </c>
      <c r="D34" s="1" t="s">
        <v>2</v>
      </c>
    </row>
    <row r="35" spans="2:4" x14ac:dyDescent="0.3">
      <c r="B35" s="2" t="s">
        <v>40</v>
      </c>
      <c r="C35" s="1" t="s">
        <v>67</v>
      </c>
      <c r="D35" s="1" t="s">
        <v>7</v>
      </c>
    </row>
    <row r="36" spans="2:4" x14ac:dyDescent="0.3">
      <c r="B36" s="2" t="s">
        <v>41</v>
      </c>
      <c r="C36" s="1" t="s">
        <v>68</v>
      </c>
      <c r="D36" s="1" t="s">
        <v>3</v>
      </c>
    </row>
    <row r="37" spans="2:4" x14ac:dyDescent="0.3">
      <c r="B37" s="2" t="s">
        <v>42</v>
      </c>
      <c r="C37" s="1" t="s">
        <v>69</v>
      </c>
      <c r="D37" s="1" t="s">
        <v>7</v>
      </c>
    </row>
    <row r="38" spans="2:4" x14ac:dyDescent="0.3">
      <c r="B38" s="2" t="s">
        <v>44</v>
      </c>
      <c r="C38" s="1" t="s">
        <v>67</v>
      </c>
      <c r="D38" s="1" t="s">
        <v>3</v>
      </c>
    </row>
    <row r="39" spans="2:4" x14ac:dyDescent="0.3">
      <c r="B39" s="2" t="s">
        <v>46</v>
      </c>
      <c r="C39" s="1" t="s">
        <v>68</v>
      </c>
      <c r="D39" s="1" t="s">
        <v>2</v>
      </c>
    </row>
    <row r="40" spans="2:4" x14ac:dyDescent="0.3">
      <c r="B40" s="2" t="s">
        <v>48</v>
      </c>
      <c r="C40" s="1" t="s">
        <v>67</v>
      </c>
      <c r="D40" s="1" t="s">
        <v>5</v>
      </c>
    </row>
    <row r="41" spans="2:4" x14ac:dyDescent="0.3">
      <c r="B41" s="2" t="s">
        <v>50</v>
      </c>
      <c r="C41" s="1" t="s">
        <v>68</v>
      </c>
      <c r="D41" s="1" t="s">
        <v>7</v>
      </c>
    </row>
    <row r="42" spans="2:4" x14ac:dyDescent="0.3">
      <c r="B42" s="2" t="s">
        <v>52</v>
      </c>
      <c r="C42" s="1" t="s">
        <v>69</v>
      </c>
      <c r="D42" s="1" t="s">
        <v>5</v>
      </c>
    </row>
    <row r="43" spans="2:4" x14ac:dyDescent="0.3">
      <c r="B43" s="2" t="s">
        <v>54</v>
      </c>
      <c r="C43" s="1" t="s">
        <v>67</v>
      </c>
      <c r="D43" s="1" t="s">
        <v>4</v>
      </c>
    </row>
    <row r="44" spans="2:4" x14ac:dyDescent="0.3">
      <c r="B44" s="2" t="s">
        <v>56</v>
      </c>
      <c r="C44" s="1" t="s">
        <v>67</v>
      </c>
      <c r="D44" s="1" t="s">
        <v>4</v>
      </c>
    </row>
    <row r="45" spans="2:4" x14ac:dyDescent="0.3">
      <c r="B45" s="2" t="s">
        <v>43</v>
      </c>
      <c r="C45" s="1" t="s">
        <v>67</v>
      </c>
      <c r="D45" s="1" t="s">
        <v>5</v>
      </c>
    </row>
    <row r="46" spans="2:4" x14ac:dyDescent="0.3">
      <c r="B46" s="2" t="s">
        <v>45</v>
      </c>
      <c r="C46" s="1" t="s">
        <v>69</v>
      </c>
      <c r="D46" s="1" t="s">
        <v>4</v>
      </c>
    </row>
    <row r="47" spans="2:4" x14ac:dyDescent="0.3">
      <c r="B47" s="2" t="s">
        <v>47</v>
      </c>
      <c r="C47" s="1" t="s">
        <v>68</v>
      </c>
      <c r="D47" s="1" t="s">
        <v>4</v>
      </c>
    </row>
    <row r="48" spans="2:4" x14ac:dyDescent="0.3">
      <c r="B48" s="2" t="s">
        <v>49</v>
      </c>
      <c r="C48" s="1" t="s">
        <v>69</v>
      </c>
      <c r="D48" s="1" t="s">
        <v>3</v>
      </c>
    </row>
    <row r="49" spans="2:4" x14ac:dyDescent="0.3">
      <c r="B49" s="2" t="s">
        <v>51</v>
      </c>
      <c r="C49" s="1" t="s">
        <v>67</v>
      </c>
      <c r="D49" s="1" t="s">
        <v>7</v>
      </c>
    </row>
    <row r="50" spans="2:4" x14ac:dyDescent="0.3">
      <c r="B50" s="2" t="s">
        <v>53</v>
      </c>
      <c r="C50" s="1" t="s">
        <v>67</v>
      </c>
      <c r="D50" s="1" t="s">
        <v>7</v>
      </c>
    </row>
    <row r="51" spans="2:4" x14ac:dyDescent="0.3">
      <c r="B51" s="2" t="s">
        <v>55</v>
      </c>
      <c r="C51" s="1" t="s">
        <v>67</v>
      </c>
      <c r="D51" s="1" t="s">
        <v>4</v>
      </c>
    </row>
    <row r="52" spans="2:4" x14ac:dyDescent="0.3">
      <c r="B52" s="2" t="s">
        <v>57</v>
      </c>
      <c r="C52" s="1" t="s">
        <v>69</v>
      </c>
      <c r="D52" s="1" t="s">
        <v>6</v>
      </c>
    </row>
  </sheetData>
  <autoFilter ref="B2:D52" xr:uid="{C2BE37A3-E6D9-4DB6-B185-AD1E0FD639E2}"/>
  <dataValidations count="3">
    <dataValidation type="list" allowBlank="1" showInputMessage="1" showErrorMessage="1" sqref="F3" xr:uid="{FA7A9716-EAB2-4A72-8076-BE5C1DE1AEFE}">
      <formula1>_xlfn.ANCHORARRAY($R$2)</formula1>
    </dataValidation>
    <dataValidation type="list" allowBlank="1" showInputMessage="1" showErrorMessage="1" sqref="I3" xr:uid="{E970D896-5673-4287-A2AF-BE54D820D393}">
      <formula1>$S$2:$S$11</formula1>
    </dataValidation>
    <dataValidation type="list" allowBlank="1" showInputMessage="1" showErrorMessage="1" sqref="G3" xr:uid="{301CB5A9-F7DB-43D1-B548-10C08EC66DFC}">
      <formula1>$C$3:$C$52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Funcionários</vt:lpstr>
      <vt:lpstr>Funcionários!Criterios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Alfredo Araujo</cp:lastModifiedBy>
  <dcterms:created xsi:type="dcterms:W3CDTF">2019-05-06T12:26:06Z</dcterms:created>
  <dcterms:modified xsi:type="dcterms:W3CDTF">2024-05-06T20:57:40Z</dcterms:modified>
</cp:coreProperties>
</file>