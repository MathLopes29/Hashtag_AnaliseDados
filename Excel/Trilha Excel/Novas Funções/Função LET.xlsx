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ef611a7aa12e5d/Área de Trabalho/"/>
    </mc:Choice>
  </mc:AlternateContent>
  <xr:revisionPtr revIDLastSave="248" documentId="8_{E36DA0EA-09FD-4EA4-8DA9-5F7BC44A996A}" xr6:coauthVersionLast="45" xr6:coauthVersionMax="45" xr10:uidLastSave="{6910DFC9-0CD5-4AF8-8FB9-1A64608B33C4}"/>
  <bookViews>
    <workbookView xWindow="-120" yWindow="-120" windowWidth="20730" windowHeight="11760" activeTab="2" xr2:uid="{44E458EE-6E4A-4D67-ACDD-8113827DA434}"/>
  </bookViews>
  <sheets>
    <sheet name="Explicação" sheetId="1" r:id="rId1"/>
    <sheet name="Exemplo 1" sheetId="2" r:id="rId2"/>
    <sheet name="Exemplo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3" l="1"/>
  <c r="G10" i="2"/>
  <c r="E52" i="1"/>
  <c r="E50" i="1"/>
  <c r="D41" i="1"/>
  <c r="I6" i="3" l="1"/>
  <c r="F12" i="3" s="1"/>
  <c r="G6" i="2"/>
  <c r="C19" i="2"/>
</calcChain>
</file>

<file path=xl/sharedStrings.xml><?xml version="1.0" encoding="utf-8"?>
<sst xmlns="http://schemas.openxmlformats.org/spreadsheetml/2006/main" count="26" uniqueCount="22">
  <si>
    <r>
      <rPr>
        <sz val="20"/>
        <color theme="0"/>
        <rFont val="Montserrat"/>
      </rPr>
      <t>FUNÇÃO</t>
    </r>
    <r>
      <rPr>
        <sz val="24"/>
        <color theme="0"/>
        <rFont val="Montserrat"/>
      </rPr>
      <t xml:space="preserve"> </t>
    </r>
    <r>
      <rPr>
        <sz val="28"/>
        <color rgb="FF70C1B3"/>
        <rFont val="Montserrat"/>
      </rPr>
      <t>LET</t>
    </r>
  </si>
  <si>
    <t>Introdução</t>
  </si>
  <si>
    <t>Exemplo 1</t>
  </si>
  <si>
    <t>Mês</t>
  </si>
  <si>
    <t>Vendas</t>
  </si>
  <si>
    <t>Total</t>
  </si>
  <si>
    <t>Bônus Total</t>
  </si>
  <si>
    <t>Sem o LET</t>
  </si>
  <si>
    <t>Com o LET</t>
  </si>
  <si>
    <t>Exemplo 2</t>
  </si>
  <si>
    <t>Auxiliar</t>
  </si>
  <si>
    <t>Produto</t>
  </si>
  <si>
    <t>1. De acordo com a tabela ao lado, descubra a Soma; Média e Contagem de vendas.</t>
  </si>
  <si>
    <t>Camiseta</t>
  </si>
  <si>
    <t>Sapato</t>
  </si>
  <si>
    <t>Casaco</t>
  </si>
  <si>
    <t>Chinelo</t>
  </si>
  <si>
    <t>Saia</t>
  </si>
  <si>
    <t>Vestido</t>
  </si>
  <si>
    <t>Boné</t>
  </si>
  <si>
    <t>Relógio</t>
  </si>
  <si>
    <t>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</si>
</sst>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10" x14ac:knownFonts="1">
    <font>
      <sz val="11"/>
      <color theme="1"/>
      <name val="Calibri"/>
      <family val="2"/>
      <scheme val="minor"/>
    </font>
    <font>
      <sz val="24"/>
      <color theme="0"/>
      <name val="Montserrat"/>
    </font>
    <font>
      <sz val="11"/>
      <color theme="1"/>
      <name val="Montserrat"/>
    </font>
    <font>
      <sz val="28"/>
      <color rgb="FF70C1B3"/>
      <name val="Montserrat"/>
    </font>
    <font>
      <sz val="20"/>
      <color theme="0"/>
      <name val="Montserrat"/>
    </font>
    <font>
      <sz val="14"/>
      <color theme="0"/>
      <name val="Montserrat"/>
    </font>
    <font>
      <sz val="10"/>
      <color theme="1"/>
      <name val="Montserrat"/>
    </font>
    <font>
      <sz val="10"/>
      <color theme="0"/>
      <name val="Montserrat"/>
    </font>
    <font>
      <sz val="10"/>
      <color theme="0" tint="-0.34998626667073579"/>
      <name val="Montserrat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47BA0"/>
        <bgColor indexed="64"/>
      </patternFill>
    </fill>
    <fill>
      <patternFill patternType="solid">
        <fgColor rgb="FF70C1B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indent="2"/>
    </xf>
    <xf numFmtId="0" fontId="2" fillId="2" borderId="0" xfId="0" applyFont="1" applyFill="1"/>
    <xf numFmtId="0" fontId="5" fillId="2" borderId="0" xfId="0" applyFont="1" applyFill="1" applyAlignment="1">
      <alignment horizontal="left" indent="2"/>
    </xf>
    <xf numFmtId="0" fontId="2" fillId="0" borderId="0" xfId="0" applyFont="1"/>
    <xf numFmtId="0" fontId="6" fillId="0" borderId="0" xfId="0" applyFont="1"/>
    <xf numFmtId="17" fontId="6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/>
    <xf numFmtId="0" fontId="8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C1B3"/>
      <color rgb="FFFF1654"/>
      <color rgb="FF24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checked="Checked" firstButton="1" fmlaLink="$H$6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17</xdr:row>
      <xdr:rowOff>0</xdr:rowOff>
    </xdr:from>
    <xdr:to>
      <xdr:col>8</xdr:col>
      <xdr:colOff>342901</xdr:colOff>
      <xdr:row>19</xdr:row>
      <xdr:rowOff>152400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66725" y="3333750"/>
          <a:ext cx="4752976" cy="533400"/>
        </a:xfrm>
        <a:prstGeom prst="rect">
          <a:avLst/>
        </a:prstGeom>
        <a:noFill/>
        <a:ln w="28575">
          <a:solidFill>
            <a:srgbClr val="247B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17</xdr:row>
      <xdr:rowOff>114300</xdr:rowOff>
    </xdr:from>
    <xdr:to>
      <xdr:col>8</xdr:col>
      <xdr:colOff>209551</xdr:colOff>
      <xdr:row>19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33425" y="3448050"/>
          <a:ext cx="4352926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ysClr val="windowText" lastClr="000000"/>
              </a:solidFill>
              <a:latin typeface="Montserrat" panose="02000505000000020004" pitchFamily="2" charset="0"/>
            </a:rPr>
            <a:t>=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 LET (</a:t>
          </a:r>
          <a:r>
            <a:rPr lang="pt-BR" sz="1600" baseline="0">
              <a:solidFill>
                <a:srgbClr val="70C1B3"/>
              </a:solidFill>
              <a:latin typeface="Montserrat" panose="02000505000000020004" pitchFamily="2" charset="0"/>
            </a:rPr>
            <a:t>name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 </a:t>
          </a:r>
          <a:r>
            <a:rPr lang="pt-BR" sz="1600" baseline="0">
              <a:solidFill>
                <a:srgbClr val="247BA0"/>
              </a:solidFill>
              <a:latin typeface="Montserrat" panose="02000505000000020004" pitchFamily="2" charset="0"/>
            </a:rPr>
            <a:t>name_value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 </a:t>
          </a:r>
          <a:r>
            <a:rPr lang="pt-BR" sz="1600" baseline="0">
              <a:solidFill>
                <a:srgbClr val="FF1654"/>
              </a:solidFill>
              <a:latin typeface="Montserrat" panose="02000505000000020004" pitchFamily="2" charset="0"/>
            </a:rPr>
            <a:t>calculation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)</a:t>
          </a:r>
          <a:endParaRPr lang="pt-BR" sz="1600">
            <a:solidFill>
              <a:sysClr val="windowText" lastClr="000000"/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0</xdr:col>
      <xdr:colOff>438149</xdr:colOff>
      <xdr:row>14</xdr:row>
      <xdr:rowOff>104775</xdr:rowOff>
    </xdr:from>
    <xdr:to>
      <xdr:col>2</xdr:col>
      <xdr:colOff>590550</xdr:colOff>
      <xdr:row>16</xdr:row>
      <xdr:rowOff>85725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38149" y="2867025"/>
          <a:ext cx="1371601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rgbClr val="247BA0"/>
              </a:solidFill>
              <a:latin typeface="Montserrat" panose="02000505000000020004" pitchFamily="2" charset="0"/>
            </a:rPr>
            <a:t>2. Estrutura</a:t>
          </a:r>
        </a:p>
      </xdr:txBody>
    </xdr:sp>
    <xdr:clientData/>
  </xdr:twoCellAnchor>
  <xdr:twoCellAnchor>
    <xdr:from>
      <xdr:col>2</xdr:col>
      <xdr:colOff>561975</xdr:colOff>
      <xdr:row>19</xdr:row>
      <xdr:rowOff>47625</xdr:rowOff>
    </xdr:from>
    <xdr:to>
      <xdr:col>2</xdr:col>
      <xdr:colOff>561975</xdr:colOff>
      <xdr:row>21</xdr:row>
      <xdr:rowOff>152400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781175" y="3762375"/>
          <a:ext cx="0" cy="485775"/>
        </a:xfrm>
        <a:prstGeom prst="straightConnector1">
          <a:avLst/>
        </a:prstGeom>
        <a:ln w="38100">
          <a:solidFill>
            <a:srgbClr val="70C1B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438151</xdr:colOff>
      <xdr:row>22</xdr:row>
      <xdr:rowOff>28575</xdr:rowOff>
    </xdr:from>
    <xdr:to>
      <xdr:col>4</xdr:col>
      <xdr:colOff>57151</xdr:colOff>
      <xdr:row>22</xdr:row>
      <xdr:rowOff>152400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047751" y="4314825"/>
          <a:ext cx="1447800" cy="123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rgbClr val="70C1B3"/>
              </a:solidFill>
              <a:latin typeface="Montserrat" panose="02000505000000020004" pitchFamily="2" charset="0"/>
            </a:rPr>
            <a:t>Nome da variável</a:t>
          </a:r>
        </a:p>
      </xdr:txBody>
    </xdr:sp>
    <xdr:clientData/>
  </xdr:twoCellAnchor>
  <xdr:twoCellAnchor>
    <xdr:from>
      <xdr:col>4</xdr:col>
      <xdr:colOff>342900</xdr:colOff>
      <xdr:row>19</xdr:row>
      <xdr:rowOff>47625</xdr:rowOff>
    </xdr:from>
    <xdr:to>
      <xdr:col>4</xdr:col>
      <xdr:colOff>342900</xdr:colOff>
      <xdr:row>23</xdr:row>
      <xdr:rowOff>95250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2781300" y="3762375"/>
          <a:ext cx="0" cy="809625"/>
        </a:xfrm>
        <a:prstGeom prst="straightConnector1">
          <a:avLst/>
        </a:prstGeom>
        <a:ln w="38100">
          <a:solidFill>
            <a:srgbClr val="247B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200026</xdr:colOff>
      <xdr:row>22</xdr:row>
      <xdr:rowOff>142875</xdr:rowOff>
    </xdr:from>
    <xdr:to>
      <xdr:col>5</xdr:col>
      <xdr:colOff>438150</xdr:colOff>
      <xdr:row>27</xdr:row>
      <xdr:rowOff>47625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028826" y="4429125"/>
          <a:ext cx="1457324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rgbClr val="247BA0"/>
              </a:solidFill>
              <a:latin typeface="Montserrat" panose="02000505000000020004" pitchFamily="2" charset="0"/>
            </a:rPr>
            <a:t>Valor que será armazenado na variável</a:t>
          </a:r>
        </a:p>
      </xdr:txBody>
    </xdr:sp>
    <xdr:clientData/>
  </xdr:twoCellAnchor>
  <xdr:twoCellAnchor>
    <xdr:from>
      <xdr:col>6</xdr:col>
      <xdr:colOff>457200</xdr:colOff>
      <xdr:row>19</xdr:row>
      <xdr:rowOff>38100</xdr:rowOff>
    </xdr:from>
    <xdr:to>
      <xdr:col>6</xdr:col>
      <xdr:colOff>457200</xdr:colOff>
      <xdr:row>25</xdr:row>
      <xdr:rowOff>161925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114800" y="3752850"/>
          <a:ext cx="0" cy="1266825"/>
        </a:xfrm>
        <a:prstGeom prst="straightConnector1">
          <a:avLst/>
        </a:prstGeom>
        <a:ln w="38100">
          <a:solidFill>
            <a:srgbClr val="FF165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25</xdr:row>
      <xdr:rowOff>114300</xdr:rowOff>
    </xdr:from>
    <xdr:to>
      <xdr:col>8</xdr:col>
      <xdr:colOff>200024</xdr:colOff>
      <xdr:row>28</xdr:row>
      <xdr:rowOff>95250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152775" y="4972050"/>
          <a:ext cx="1924049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rgbClr val="FF1654"/>
              </a:solidFill>
              <a:latin typeface="Montserrat" panose="02000505000000020004" pitchFamily="2" charset="0"/>
            </a:rPr>
            <a:t>Cálculo</a:t>
          </a:r>
          <a:r>
            <a:rPr lang="pt-BR" sz="1000" baseline="0">
              <a:solidFill>
                <a:srgbClr val="FF1654"/>
              </a:solidFill>
              <a:latin typeface="Montserrat" panose="02000505000000020004" pitchFamily="2" charset="0"/>
            </a:rPr>
            <a:t> onde a variável será utilizada</a:t>
          </a:r>
          <a:endParaRPr lang="pt-BR" sz="1000">
            <a:solidFill>
              <a:srgbClr val="FF1654"/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0</xdr:col>
      <xdr:colOff>438149</xdr:colOff>
      <xdr:row>3</xdr:row>
      <xdr:rowOff>47625</xdr:rowOff>
    </xdr:from>
    <xdr:to>
      <xdr:col>4</xdr:col>
      <xdr:colOff>466725</xdr:colOff>
      <xdr:row>5</xdr:row>
      <xdr:rowOff>28575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38149" y="904875"/>
          <a:ext cx="2466976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rgbClr val="247BA0"/>
              </a:solidFill>
              <a:latin typeface="Montserrat" panose="02000505000000020004" pitchFamily="2" charset="0"/>
            </a:rPr>
            <a:t>1. Explicação</a:t>
          </a:r>
        </a:p>
      </xdr:txBody>
    </xdr:sp>
    <xdr:clientData/>
  </xdr:twoCellAnchor>
  <xdr:twoCellAnchor>
    <xdr:from>
      <xdr:col>1</xdr:col>
      <xdr:colOff>123823</xdr:colOff>
      <xdr:row>5</xdr:row>
      <xdr:rowOff>47625</xdr:rowOff>
    </xdr:from>
    <xdr:to>
      <xdr:col>11</xdr:col>
      <xdr:colOff>457200</xdr:colOff>
      <xdr:row>7</xdr:row>
      <xdr:rowOff>161925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733423" y="1495425"/>
          <a:ext cx="6429377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tx1">
                  <a:lumMod val="85000"/>
                  <a:lumOff val="15000"/>
                </a:schemeClr>
              </a:solidFill>
              <a:latin typeface="Montserrat" panose="02000505000000020004" pitchFamily="2" charset="0"/>
            </a:rPr>
            <a:t>Essa fórmula permite a utilização de variáveis dentro das fórmulas do Excel. Tem</a:t>
          </a:r>
          <a:r>
            <a:rPr lang="pt-BR" sz="1100" baseline="0">
              <a:solidFill>
                <a:schemeClr val="tx1">
                  <a:lumMod val="85000"/>
                  <a:lumOff val="15000"/>
                </a:schemeClr>
              </a:solidFill>
              <a:latin typeface="Montserrat" panose="02000505000000020004" pitchFamily="2" charset="0"/>
            </a:rPr>
            <a:t> como principais objetivos:</a:t>
          </a:r>
          <a:endParaRPr lang="pt-BR" sz="1100">
            <a:solidFill>
              <a:schemeClr val="tx1">
                <a:lumMod val="85000"/>
                <a:lumOff val="15000"/>
              </a:schemeClr>
            </a:solidFill>
            <a:latin typeface="Montserrat" panose="02000505000000020004" pitchFamily="2" charset="0"/>
          </a:endParaRPr>
        </a:p>
      </xdr:txBody>
    </xdr:sp>
    <xdr:clientData/>
  </xdr:twoCellAnchor>
  <xdr:twoCellAnchor editAs="oneCell">
    <xdr:from>
      <xdr:col>1</xdr:col>
      <xdr:colOff>304800</xdr:colOff>
      <xdr:row>8</xdr:row>
      <xdr:rowOff>152400</xdr:rowOff>
    </xdr:from>
    <xdr:to>
      <xdr:col>1</xdr:col>
      <xdr:colOff>533400</xdr:colOff>
      <xdr:row>10</xdr:row>
      <xdr:rowOff>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9621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10</xdr:row>
      <xdr:rowOff>161925</xdr:rowOff>
    </xdr:from>
    <xdr:to>
      <xdr:col>1</xdr:col>
      <xdr:colOff>533400</xdr:colOff>
      <xdr:row>12</xdr:row>
      <xdr:rowOff>9525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2352675"/>
          <a:ext cx="228600" cy="228600"/>
        </a:xfrm>
        <a:prstGeom prst="rect">
          <a:avLst/>
        </a:prstGeom>
      </xdr:spPr>
    </xdr:pic>
    <xdr:clientData/>
  </xdr:twoCellAnchor>
  <xdr:twoCellAnchor>
    <xdr:from>
      <xdr:col>1</xdr:col>
      <xdr:colOff>590548</xdr:colOff>
      <xdr:row>8</xdr:row>
      <xdr:rowOff>123825</xdr:rowOff>
    </xdr:from>
    <xdr:to>
      <xdr:col>11</xdr:col>
      <xdr:colOff>219075</xdr:colOff>
      <xdr:row>10</xdr:row>
      <xdr:rowOff>47625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200148" y="2143125"/>
          <a:ext cx="5724527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aseline="0">
              <a:solidFill>
                <a:schemeClr val="tx1">
                  <a:lumMod val="85000"/>
                  <a:lumOff val="15000"/>
                </a:schemeClr>
              </a:solidFill>
              <a:latin typeface="Montserrat" panose="02000505000000020004" pitchFamily="2" charset="0"/>
            </a:rPr>
            <a:t>Evitar repetição de uma mesma expressão diversas vezes na mesma fórmula.</a:t>
          </a:r>
          <a:endParaRPr lang="pt-BR" sz="1100">
            <a:solidFill>
              <a:schemeClr val="tx1">
                <a:lumMod val="85000"/>
                <a:lumOff val="15000"/>
              </a:schemeClr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1</xdr:col>
      <xdr:colOff>600073</xdr:colOff>
      <xdr:row>10</xdr:row>
      <xdr:rowOff>161925</xdr:rowOff>
    </xdr:from>
    <xdr:to>
      <xdr:col>9</xdr:col>
      <xdr:colOff>95250</xdr:colOff>
      <xdr:row>13</xdr:row>
      <xdr:rowOff>28575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209673" y="2352675"/>
          <a:ext cx="4371977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aseline="0">
              <a:solidFill>
                <a:schemeClr val="tx1">
                  <a:lumMod val="85000"/>
                  <a:lumOff val="15000"/>
                </a:schemeClr>
              </a:solidFill>
              <a:latin typeface="Montserrat" panose="02000505000000020004" pitchFamily="2" charset="0"/>
            </a:rPr>
            <a:t>Tornar a sua fórmula mais legível para quem fizer a leitura.</a:t>
          </a:r>
          <a:endParaRPr lang="pt-BR" sz="1100">
            <a:solidFill>
              <a:schemeClr val="tx1">
                <a:lumMod val="85000"/>
                <a:lumOff val="15000"/>
              </a:schemeClr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0</xdr:col>
      <xdr:colOff>390525</xdr:colOff>
      <xdr:row>31</xdr:row>
      <xdr:rowOff>28575</xdr:rowOff>
    </xdr:from>
    <xdr:to>
      <xdr:col>2</xdr:col>
      <xdr:colOff>552450</xdr:colOff>
      <xdr:row>33</xdr:row>
      <xdr:rowOff>9525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90525" y="6219825"/>
          <a:ext cx="13811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rgbClr val="247BA0"/>
              </a:solidFill>
              <a:latin typeface="Montserrat" panose="02000505000000020004" pitchFamily="2" charset="0"/>
            </a:rPr>
            <a:t>3. Exemplos</a:t>
          </a:r>
        </a:p>
      </xdr:txBody>
    </xdr:sp>
    <xdr:clientData/>
  </xdr:twoCellAnchor>
  <xdr:twoCellAnchor>
    <xdr:from>
      <xdr:col>1</xdr:col>
      <xdr:colOff>209551</xdr:colOff>
      <xdr:row>34</xdr:row>
      <xdr:rowOff>57151</xdr:rowOff>
    </xdr:from>
    <xdr:to>
      <xdr:col>1</xdr:col>
      <xdr:colOff>571501</xdr:colOff>
      <xdr:row>36</xdr:row>
      <xdr:rowOff>38101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19151" y="6819901"/>
          <a:ext cx="361950" cy="361950"/>
        </a:xfrm>
        <a:prstGeom prst="ellipse">
          <a:avLst/>
        </a:prstGeom>
        <a:solidFill>
          <a:srgbClr val="247B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Montserrat" panose="02000505000000020004" pitchFamily="2" charset="0"/>
            </a:rPr>
            <a:t>1</a:t>
          </a:r>
        </a:p>
      </xdr:txBody>
    </xdr:sp>
    <xdr:clientData/>
  </xdr:twoCellAnchor>
  <xdr:twoCellAnchor>
    <xdr:from>
      <xdr:col>1</xdr:col>
      <xdr:colOff>219076</xdr:colOff>
      <xdr:row>42</xdr:row>
      <xdr:rowOff>95251</xdr:rowOff>
    </xdr:from>
    <xdr:to>
      <xdr:col>1</xdr:col>
      <xdr:colOff>581026</xdr:colOff>
      <xdr:row>44</xdr:row>
      <xdr:rowOff>76201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28676" y="8382001"/>
          <a:ext cx="361950" cy="361950"/>
        </a:xfrm>
        <a:prstGeom prst="ellipse">
          <a:avLst/>
        </a:prstGeom>
        <a:solidFill>
          <a:srgbClr val="247B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Montserrat" panose="02000505000000020004" pitchFamily="2" charset="0"/>
            </a:rPr>
            <a:t>2</a:t>
          </a:r>
        </a:p>
      </xdr:txBody>
    </xdr:sp>
    <xdr:clientData/>
  </xdr:twoCellAnchor>
  <xdr:twoCellAnchor>
    <xdr:from>
      <xdr:col>2</xdr:col>
      <xdr:colOff>28575</xdr:colOff>
      <xdr:row>34</xdr:row>
      <xdr:rowOff>76200</xdr:rowOff>
    </xdr:from>
    <xdr:to>
      <xdr:col>9</xdr:col>
      <xdr:colOff>114301</xdr:colOff>
      <xdr:row>36</xdr:row>
      <xdr:rowOff>57150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247775" y="6838950"/>
          <a:ext cx="4352926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ysClr val="windowText" lastClr="000000"/>
              </a:solidFill>
              <a:latin typeface="Montserrat" panose="02000505000000020004" pitchFamily="2" charset="0"/>
            </a:rPr>
            <a:t>=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 LET (</a:t>
          </a:r>
          <a:r>
            <a:rPr lang="pt-BR" sz="1600" baseline="0">
              <a:solidFill>
                <a:srgbClr val="70C1B3"/>
              </a:solidFill>
              <a:latin typeface="Montserrat" panose="02000505000000020004" pitchFamily="2" charset="0"/>
            </a:rPr>
            <a:t>salario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 </a:t>
          </a:r>
          <a:r>
            <a:rPr lang="pt-BR" sz="1600" baseline="0">
              <a:solidFill>
                <a:srgbClr val="247BA0"/>
              </a:solidFill>
              <a:latin typeface="Montserrat" panose="02000505000000020004" pitchFamily="2" charset="0"/>
            </a:rPr>
            <a:t>3000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 </a:t>
          </a:r>
          <a:r>
            <a:rPr lang="pt-BR" sz="1600" baseline="0">
              <a:solidFill>
                <a:srgbClr val="FF1654"/>
              </a:solidFill>
              <a:latin typeface="Montserrat" panose="02000505000000020004" pitchFamily="2" charset="0"/>
            </a:rPr>
            <a:t>salario + 800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)</a:t>
          </a:r>
          <a:endParaRPr lang="pt-BR" sz="1600">
            <a:solidFill>
              <a:sysClr val="windowText" lastClr="000000"/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2</xdr:col>
      <xdr:colOff>38100</xdr:colOff>
      <xdr:row>42</xdr:row>
      <xdr:rowOff>76200</xdr:rowOff>
    </xdr:from>
    <xdr:to>
      <xdr:col>10</xdr:col>
      <xdr:colOff>438150</xdr:colOff>
      <xdr:row>44</xdr:row>
      <xdr:rowOff>57150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257300" y="8362950"/>
          <a:ext cx="52768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ysClr val="windowText" lastClr="000000"/>
              </a:solidFill>
              <a:latin typeface="Montserrat" panose="02000505000000020004" pitchFamily="2" charset="0"/>
            </a:rPr>
            <a:t>=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 LET (</a:t>
          </a:r>
          <a:r>
            <a:rPr lang="pt-BR" sz="1600" baseline="0">
              <a:solidFill>
                <a:srgbClr val="70C1B3"/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vendas</a:t>
          </a:r>
          <a:r>
            <a:rPr lang="pt-BR" sz="1600" baseline="0">
              <a:solidFill>
                <a:schemeClr val="dk1"/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;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600" baseline="0">
              <a:solidFill>
                <a:srgbClr val="247BA0"/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1500</a:t>
          </a:r>
          <a:r>
            <a:rPr lang="pt-BR" sz="1600" baseline="0">
              <a:solidFill>
                <a:sysClr val="windowText" lastClr="000000"/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; </a:t>
          </a:r>
          <a:r>
            <a:rPr lang="pt-BR" sz="1600" baseline="0">
              <a:solidFill>
                <a:srgbClr val="70C1B3"/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bonus</a:t>
          </a:r>
          <a:r>
            <a:rPr lang="pt-BR" sz="1600" baseline="0">
              <a:solidFill>
                <a:sysClr val="windowText" lastClr="000000"/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; </a:t>
          </a:r>
          <a:r>
            <a:rPr lang="pt-BR" sz="1600" baseline="0">
              <a:solidFill>
                <a:srgbClr val="247BA0"/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10%</a:t>
          </a:r>
          <a:r>
            <a:rPr lang="pt-BR" sz="1600" baseline="0">
              <a:solidFill>
                <a:sysClr val="windowText" lastClr="000000"/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; </a:t>
          </a:r>
          <a:r>
            <a:rPr lang="pt-BR" sz="1600" baseline="0">
              <a:solidFill>
                <a:srgbClr val="FF1654"/>
              </a:solidFill>
              <a:latin typeface="Montserrat" panose="02000505000000020004" pitchFamily="2" charset="0"/>
            </a:rPr>
            <a:t>vendas*bonus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)</a:t>
          </a:r>
          <a:endParaRPr lang="pt-BR" sz="1600">
            <a:solidFill>
              <a:sysClr val="windowText" lastClr="000000"/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10</xdr:col>
      <xdr:colOff>276225</xdr:colOff>
      <xdr:row>43</xdr:row>
      <xdr:rowOff>66675</xdr:rowOff>
    </xdr:from>
    <xdr:to>
      <xdr:col>11</xdr:col>
      <xdr:colOff>57150</xdr:colOff>
      <xdr:row>43</xdr:row>
      <xdr:rowOff>66675</xdr:rowOff>
    </xdr:to>
    <xdr:cxnSp macro="">
      <xdr:nvCxnSpPr>
        <xdr:cNvPr id="28" name="Conector de Seta Reta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6372225" y="8543925"/>
          <a:ext cx="390525" cy="0"/>
        </a:xfrm>
        <a:prstGeom prst="straightConnector1">
          <a:avLst/>
        </a:prstGeom>
        <a:ln>
          <a:solidFill>
            <a:schemeClr val="bg2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542925</xdr:colOff>
      <xdr:row>42</xdr:row>
      <xdr:rowOff>95250</xdr:rowOff>
    </xdr:from>
    <xdr:to>
      <xdr:col>12</xdr:col>
      <xdr:colOff>114300</xdr:colOff>
      <xdr:row>44</xdr:row>
      <xdr:rowOff>19050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638925" y="8382000"/>
          <a:ext cx="79057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rgbClr val="247BA0"/>
              </a:solidFill>
              <a:latin typeface="Montserrat" panose="02000505000000020004" pitchFamily="2" charset="0"/>
            </a:rPr>
            <a:t>150</a:t>
          </a:r>
        </a:p>
      </xdr:txBody>
    </xdr:sp>
    <xdr:clientData/>
  </xdr:twoCellAnchor>
  <xdr:twoCellAnchor>
    <xdr:from>
      <xdr:col>7</xdr:col>
      <xdr:colOff>581025</xdr:colOff>
      <xdr:row>45</xdr:row>
      <xdr:rowOff>9525</xdr:rowOff>
    </xdr:from>
    <xdr:to>
      <xdr:col>9</xdr:col>
      <xdr:colOff>457200</xdr:colOff>
      <xdr:row>46</xdr:row>
      <xdr:rowOff>123825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848225" y="8867775"/>
          <a:ext cx="109537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Montserrat" panose="02000505000000020004" pitchFamily="2" charset="0"/>
            </a:rPr>
            <a:t>1500 * 10%</a:t>
          </a:r>
        </a:p>
      </xdr:txBody>
    </xdr:sp>
    <xdr:clientData/>
  </xdr:twoCellAnchor>
  <xdr:twoCellAnchor>
    <xdr:from>
      <xdr:col>3</xdr:col>
      <xdr:colOff>304801</xdr:colOff>
      <xdr:row>45</xdr:row>
      <xdr:rowOff>28575</xdr:rowOff>
    </xdr:from>
    <xdr:to>
      <xdr:col>5</xdr:col>
      <xdr:colOff>200025</xdr:colOff>
      <xdr:row>46</xdr:row>
      <xdr:rowOff>142875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133601" y="8886825"/>
          <a:ext cx="1114424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aseline="0">
              <a:solidFill>
                <a:schemeClr val="bg2">
                  <a:lumMod val="50000"/>
                </a:schemeClr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vendas = 1500</a:t>
          </a:r>
          <a:endParaRPr lang="pt-BR" sz="1000">
            <a:solidFill>
              <a:schemeClr val="bg2">
                <a:lumMod val="50000"/>
              </a:schemeClr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5</xdr:col>
      <xdr:colOff>457200</xdr:colOff>
      <xdr:row>45</xdr:row>
      <xdr:rowOff>47625</xdr:rowOff>
    </xdr:from>
    <xdr:to>
      <xdr:col>7</xdr:col>
      <xdr:colOff>323849</xdr:colOff>
      <xdr:row>46</xdr:row>
      <xdr:rowOff>161925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505200" y="8905875"/>
          <a:ext cx="1085849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aseline="0">
              <a:solidFill>
                <a:schemeClr val="bg2">
                  <a:lumMod val="50000"/>
                </a:schemeClr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bonus = 10%</a:t>
          </a:r>
          <a:endParaRPr lang="pt-BR" sz="1000">
            <a:solidFill>
              <a:schemeClr val="bg2">
                <a:lumMod val="50000"/>
              </a:schemeClr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3</xdr:col>
      <xdr:colOff>261937</xdr:colOff>
      <xdr:row>44</xdr:row>
      <xdr:rowOff>47628</xdr:rowOff>
    </xdr:from>
    <xdr:to>
      <xdr:col>5</xdr:col>
      <xdr:colOff>238124</xdr:colOff>
      <xdr:row>44</xdr:row>
      <xdr:rowOff>185739</xdr:rowOff>
    </xdr:to>
    <xdr:sp macro="" textlink="">
      <xdr:nvSpPr>
        <xdr:cNvPr id="33" name="Chave Direita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5400000">
          <a:off x="2619375" y="8186740"/>
          <a:ext cx="138111" cy="1195387"/>
        </a:xfrm>
        <a:prstGeom prst="rightBrac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338137</xdr:colOff>
      <xdr:row>44</xdr:row>
      <xdr:rowOff>47628</xdr:rowOff>
    </xdr:from>
    <xdr:to>
      <xdr:col>7</xdr:col>
      <xdr:colOff>314324</xdr:colOff>
      <xdr:row>44</xdr:row>
      <xdr:rowOff>185739</xdr:rowOff>
    </xdr:to>
    <xdr:sp macro="" textlink="">
      <xdr:nvSpPr>
        <xdr:cNvPr id="34" name="Chave Direita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 rot="5400000">
          <a:off x="3914775" y="8186740"/>
          <a:ext cx="138111" cy="1195387"/>
        </a:xfrm>
        <a:prstGeom prst="rightBrac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433386</xdr:colOff>
      <xdr:row>44</xdr:row>
      <xdr:rowOff>47629</xdr:rowOff>
    </xdr:from>
    <xdr:to>
      <xdr:col>9</xdr:col>
      <xdr:colOff>609599</xdr:colOff>
      <xdr:row>44</xdr:row>
      <xdr:rowOff>171451</xdr:rowOff>
    </xdr:to>
    <xdr:sp macro="" textlink="">
      <xdr:nvSpPr>
        <xdr:cNvPr id="35" name="Chave Direita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 rot="5400000">
          <a:off x="5336382" y="8079583"/>
          <a:ext cx="123822" cy="1395413"/>
        </a:xfrm>
        <a:prstGeom prst="rightBrac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304801</xdr:colOff>
      <xdr:row>37</xdr:row>
      <xdr:rowOff>38100</xdr:rowOff>
    </xdr:from>
    <xdr:to>
      <xdr:col>5</xdr:col>
      <xdr:colOff>200025</xdr:colOff>
      <xdr:row>38</xdr:row>
      <xdr:rowOff>152400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2133601" y="7372350"/>
          <a:ext cx="1114424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aseline="0">
              <a:solidFill>
                <a:schemeClr val="bg2">
                  <a:lumMod val="50000"/>
                </a:schemeClr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salario = 3000</a:t>
          </a:r>
          <a:endParaRPr lang="pt-BR" sz="1000">
            <a:solidFill>
              <a:schemeClr val="bg2">
                <a:lumMod val="50000"/>
              </a:schemeClr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3</xdr:col>
      <xdr:colOff>261937</xdr:colOff>
      <xdr:row>36</xdr:row>
      <xdr:rowOff>57153</xdr:rowOff>
    </xdr:from>
    <xdr:to>
      <xdr:col>5</xdr:col>
      <xdr:colOff>238124</xdr:colOff>
      <xdr:row>37</xdr:row>
      <xdr:rowOff>4764</xdr:rowOff>
    </xdr:to>
    <xdr:sp macro="" textlink="">
      <xdr:nvSpPr>
        <xdr:cNvPr id="37" name="Chave Direit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 rot="5400000">
          <a:off x="2619375" y="6672265"/>
          <a:ext cx="138111" cy="1195387"/>
        </a:xfrm>
        <a:prstGeom prst="rightBrac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433387</xdr:colOff>
      <xdr:row>36</xdr:row>
      <xdr:rowOff>47628</xdr:rowOff>
    </xdr:from>
    <xdr:to>
      <xdr:col>7</xdr:col>
      <xdr:colOff>409574</xdr:colOff>
      <xdr:row>36</xdr:row>
      <xdr:rowOff>185739</xdr:rowOff>
    </xdr:to>
    <xdr:sp macro="" textlink="">
      <xdr:nvSpPr>
        <xdr:cNvPr id="38" name="Chave Direita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 rot="5400000">
          <a:off x="4010025" y="6662740"/>
          <a:ext cx="138111" cy="1195387"/>
        </a:xfrm>
        <a:prstGeom prst="rightBrac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476251</xdr:colOff>
      <xdr:row>37</xdr:row>
      <xdr:rowOff>47625</xdr:rowOff>
    </xdr:from>
    <xdr:to>
      <xdr:col>7</xdr:col>
      <xdr:colOff>371475</xdr:colOff>
      <xdr:row>38</xdr:row>
      <xdr:rowOff>161925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3524251" y="7381875"/>
          <a:ext cx="1114424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aseline="0">
              <a:solidFill>
                <a:schemeClr val="bg2">
                  <a:lumMod val="50000"/>
                </a:schemeClr>
              </a:solidFill>
              <a:effectLst/>
              <a:latin typeface="Montserrat" panose="02000505000000020004" pitchFamily="2" charset="0"/>
              <a:ea typeface="+mn-ea"/>
              <a:cs typeface="+mn-cs"/>
            </a:rPr>
            <a:t>3000 + 800</a:t>
          </a:r>
          <a:endParaRPr lang="pt-BR" sz="1000">
            <a:solidFill>
              <a:schemeClr val="bg2">
                <a:lumMod val="50000"/>
              </a:schemeClr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8</xdr:col>
      <xdr:colOff>85725</xdr:colOff>
      <xdr:row>35</xdr:row>
      <xdr:rowOff>66675</xdr:rowOff>
    </xdr:from>
    <xdr:to>
      <xdr:col>8</xdr:col>
      <xdr:colOff>476250</xdr:colOff>
      <xdr:row>35</xdr:row>
      <xdr:rowOff>66675</xdr:rowOff>
    </xdr:to>
    <xdr:cxnSp macro="">
      <xdr:nvCxnSpPr>
        <xdr:cNvPr id="40" name="Conector de Seta Reta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4962525" y="7019925"/>
          <a:ext cx="390525" cy="0"/>
        </a:xfrm>
        <a:prstGeom prst="straightConnector1">
          <a:avLst/>
        </a:prstGeom>
        <a:ln>
          <a:solidFill>
            <a:schemeClr val="bg2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352425</xdr:colOff>
      <xdr:row>34</xdr:row>
      <xdr:rowOff>95250</xdr:rowOff>
    </xdr:from>
    <xdr:to>
      <xdr:col>10</xdr:col>
      <xdr:colOff>219075</xdr:colOff>
      <xdr:row>36</xdr:row>
      <xdr:rowOff>19050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5229225" y="6858000"/>
          <a:ext cx="10858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rgbClr val="247BA0"/>
              </a:solidFill>
              <a:latin typeface="Montserrat" panose="02000505000000020004" pitchFamily="2" charset="0"/>
            </a:rPr>
            <a:t>3800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590550</xdr:colOff>
          <xdr:row>4</xdr:row>
          <xdr:rowOff>190500</xdr:rowOff>
        </xdr:from>
        <xdr:to>
          <xdr:col>1</xdr:col>
          <xdr:colOff>600075</xdr:colOff>
          <xdr:row>6</xdr:row>
          <xdr:rowOff>28575</xdr:rowOff>
        </xdr:to>
        <xdr:sp macro="" textlink="">
          <xdr:nvSpPr>
            <xdr:cNvPr id="3073" name="Option 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SOMA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704850</xdr:colOff>
          <xdr:row>4</xdr:row>
          <xdr:rowOff>171450</xdr:rowOff>
        </xdr:from>
        <xdr:to>
          <xdr:col>2</xdr:col>
          <xdr:colOff>85725</xdr:colOff>
          <xdr:row>6</xdr:row>
          <xdr:rowOff>28575</xdr:rowOff>
        </xdr:to>
        <xdr:sp macro="" textlink="">
          <xdr:nvSpPr>
            <xdr:cNvPr id="3074" name="Option 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MÉDIA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1343025</xdr:colOff>
          <xdr:row>4</xdr:row>
          <xdr:rowOff>161925</xdr:rowOff>
        </xdr:from>
        <xdr:to>
          <xdr:col>2</xdr:col>
          <xdr:colOff>962025</xdr:colOff>
          <xdr:row>6</xdr:row>
          <xdr:rowOff>38100</xdr:rowOff>
        </xdr:to>
        <xdr:sp macro="" textlink="">
          <xdr:nvSpPr>
            <xdr:cNvPr id="3075" name="Option 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CONTAGEM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552451</xdr:colOff>
      <xdr:row>3</xdr:row>
      <xdr:rowOff>95250</xdr:rowOff>
    </xdr:from>
    <xdr:to>
      <xdr:col>3</xdr:col>
      <xdr:colOff>419101</xdr:colOff>
      <xdr:row>5</xdr:row>
      <xdr:rowOff>19050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52451" y="1162050"/>
          <a:ext cx="16954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aseline="0">
              <a:solidFill>
                <a:schemeClr val="tx1">
                  <a:lumMod val="85000"/>
                  <a:lumOff val="15000"/>
                </a:schemeClr>
              </a:solidFill>
              <a:latin typeface="Montserrat" panose="02000505000000020004" pitchFamily="2" charset="0"/>
            </a:rPr>
            <a:t>Escolha uma análise</a:t>
          </a:r>
          <a:endParaRPr lang="pt-BR" sz="1000">
            <a:solidFill>
              <a:schemeClr val="tx1">
                <a:lumMod val="85000"/>
                <a:lumOff val="15000"/>
              </a:schemeClr>
            </a:solidFill>
            <a:latin typeface="Montserrat" panose="02000505000000020004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D157-3098-4B13-A5CA-5B772E3D9CE0}">
  <dimension ref="A1:E52"/>
  <sheetViews>
    <sheetView showGridLines="0" zoomScaleNormal="100" workbookViewId="0">
      <pane ySplit="2" topLeftCell="A39" activePane="bottomLeft" state="frozen"/>
      <selection pane="bottomLeft" activeCell="E52" sqref="E52"/>
    </sheetView>
  </sheetViews>
  <sheetFormatPr defaultRowHeight="15" x14ac:dyDescent="0.25"/>
  <sheetData>
    <row r="1" spans="1:1" s="2" customFormat="1" ht="52.5" customHeight="1" x14ac:dyDescent="0.5">
      <c r="A1" s="1" t="s">
        <v>0</v>
      </c>
    </row>
    <row r="2" spans="1:1" s="2" customFormat="1" ht="16.5" customHeight="1" x14ac:dyDescent="0.3">
      <c r="A2" s="3" t="s">
        <v>1</v>
      </c>
    </row>
    <row r="41" spans="4:4" x14ac:dyDescent="0.25">
      <c r="D41">
        <f>_xlfn.LET(_xlpm.salario,3000,_xlpm.salario+800)</f>
        <v>3800</v>
      </c>
    </row>
    <row r="50" spans="5:5" x14ac:dyDescent="0.25">
      <c r="E50">
        <f>_xlfn.LET(_xlpm.vendas,1500,_xlpm.bonus,10%,_xlpm.vendas*_xlpm.bonus)</f>
        <v>150</v>
      </c>
    </row>
    <row r="52" spans="5:5" x14ac:dyDescent="0.25">
      <c r="E52">
        <f>_xlfn.LET(
_xlpm.vendas,1500,
_xlpm.bonus,10%,
_xlpm.vendas*_xlpm.bonus)</f>
        <v>150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5970-8139-4DE2-B3D0-898AE6EBAF54}">
  <dimension ref="A1:G19"/>
  <sheetViews>
    <sheetView showGridLines="0" zoomScaleNormal="100" workbookViewId="0">
      <pane ySplit="2" topLeftCell="A3" activePane="bottomLeft" state="frozen"/>
      <selection pane="bottomLeft" activeCell="G10" sqref="G10"/>
    </sheetView>
  </sheetViews>
  <sheetFormatPr defaultRowHeight="15" x14ac:dyDescent="0.25"/>
  <cols>
    <col min="2" max="2" width="20.140625" customWidth="1"/>
    <col min="3" max="3" width="15.85546875" customWidth="1"/>
    <col min="6" max="6" width="13.5703125" customWidth="1"/>
    <col min="7" max="7" width="12.5703125" bestFit="1" customWidth="1"/>
  </cols>
  <sheetData>
    <row r="1" spans="1:7" s="2" customFormat="1" ht="52.5" customHeight="1" x14ac:dyDescent="0.5">
      <c r="A1" s="1" t="s">
        <v>0</v>
      </c>
    </row>
    <row r="2" spans="1:7" s="2" customFormat="1" ht="16.5" customHeight="1" x14ac:dyDescent="0.3">
      <c r="A2" s="3" t="s">
        <v>2</v>
      </c>
    </row>
    <row r="5" spans="1:7" x14ac:dyDescent="0.25">
      <c r="F5" s="12" t="s">
        <v>7</v>
      </c>
    </row>
    <row r="6" spans="1:7" x14ac:dyDescent="0.25">
      <c r="B6" s="7" t="s">
        <v>3</v>
      </c>
      <c r="C6" s="7" t="s">
        <v>4</v>
      </c>
      <c r="F6" s="5" t="s">
        <v>6</v>
      </c>
      <c r="G6" s="11">
        <f>IF(SUM(C7:C18)&gt;1500,SUM(C7:C18)*10%,SUM(C7:C18)*5%)</f>
        <v>9585</v>
      </c>
    </row>
    <row r="7" spans="1:7" x14ac:dyDescent="0.25">
      <c r="B7" s="6">
        <v>44197</v>
      </c>
      <c r="C7" s="9">
        <v>8950</v>
      </c>
    </row>
    <row r="8" spans="1:7" x14ac:dyDescent="0.25">
      <c r="B8" s="6">
        <v>44228</v>
      </c>
      <c r="C8" s="9">
        <v>5050</v>
      </c>
    </row>
    <row r="9" spans="1:7" x14ac:dyDescent="0.25">
      <c r="B9" s="6">
        <v>44256</v>
      </c>
      <c r="C9" s="9">
        <v>9600</v>
      </c>
      <c r="F9" s="12" t="s">
        <v>8</v>
      </c>
    </row>
    <row r="10" spans="1:7" x14ac:dyDescent="0.25">
      <c r="B10" s="6">
        <v>44287</v>
      </c>
      <c r="C10" s="9">
        <v>10850</v>
      </c>
      <c r="F10" s="5" t="s">
        <v>6</v>
      </c>
      <c r="G10" s="11">
        <f>_xlfn.LET(
_xlpm.total_vendas,SUM(C7:C18),
IF(_xlpm.total_vendas&gt;1500,_xlpm.total_vendas*10%,_xlpm.total_vendas*5%))</f>
        <v>9585</v>
      </c>
    </row>
    <row r="11" spans="1:7" x14ac:dyDescent="0.25">
      <c r="B11" s="6">
        <v>44317</v>
      </c>
      <c r="C11" s="9">
        <v>9700</v>
      </c>
    </row>
    <row r="12" spans="1:7" x14ac:dyDescent="0.25">
      <c r="B12" s="6">
        <v>44348</v>
      </c>
      <c r="C12" s="9">
        <v>5750</v>
      </c>
    </row>
    <row r="13" spans="1:7" x14ac:dyDescent="0.25">
      <c r="B13" s="6">
        <v>44378</v>
      </c>
      <c r="C13" s="9">
        <v>12000</v>
      </c>
    </row>
    <row r="14" spans="1:7" x14ac:dyDescent="0.25">
      <c r="B14" s="6">
        <v>44409</v>
      </c>
      <c r="C14" s="9">
        <v>6850</v>
      </c>
    </row>
    <row r="15" spans="1:7" x14ac:dyDescent="0.25">
      <c r="B15" s="6">
        <v>44440</v>
      </c>
      <c r="C15" s="9">
        <v>6750</v>
      </c>
    </row>
    <row r="16" spans="1:7" x14ac:dyDescent="0.25">
      <c r="B16" s="6">
        <v>44470</v>
      </c>
      <c r="C16" s="9">
        <v>4050</v>
      </c>
    </row>
    <row r="17" spans="2:3" x14ac:dyDescent="0.25">
      <c r="B17" s="6">
        <v>44501</v>
      </c>
      <c r="C17" s="9">
        <v>12100</v>
      </c>
    </row>
    <row r="18" spans="2:3" x14ac:dyDescent="0.25">
      <c r="B18" s="6">
        <v>44531</v>
      </c>
      <c r="C18" s="9">
        <v>4200</v>
      </c>
    </row>
    <row r="19" spans="2:3" x14ac:dyDescent="0.25">
      <c r="B19" s="8" t="s">
        <v>5</v>
      </c>
      <c r="C19" s="10">
        <f>SUM(C7:C18)</f>
        <v>95850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846B-A963-4C23-A243-F62594C45E48}">
  <dimension ref="A1:I18"/>
  <sheetViews>
    <sheetView showGridLines="0" tabSelected="1" zoomScale="115" zoomScaleNormal="115" workbookViewId="0">
      <selection activeCell="F12" sqref="F12"/>
    </sheetView>
  </sheetViews>
  <sheetFormatPr defaultRowHeight="15" x14ac:dyDescent="0.25"/>
  <cols>
    <col min="2" max="2" width="20.140625" customWidth="1"/>
    <col min="3" max="3" width="15.85546875" customWidth="1"/>
    <col min="5" max="5" width="22.85546875" customWidth="1"/>
  </cols>
  <sheetData>
    <row r="1" spans="1:9" s="2" customFormat="1" ht="52.5" customHeight="1" x14ac:dyDescent="0.5">
      <c r="A1" s="1" t="s">
        <v>0</v>
      </c>
    </row>
    <row r="2" spans="1:9" s="2" customFormat="1" ht="16.5" customHeight="1" x14ac:dyDescent="0.3">
      <c r="A2" s="3" t="s">
        <v>9</v>
      </c>
    </row>
    <row r="6" spans="1:9" x14ac:dyDescent="0.25">
      <c r="G6" s="5" t="s">
        <v>10</v>
      </c>
      <c r="H6" s="5">
        <v>1</v>
      </c>
      <c r="I6" s="13">
        <f>IF(H6=1,9,IF(H6=2,1,3))</f>
        <v>9</v>
      </c>
    </row>
    <row r="9" spans="1:9" x14ac:dyDescent="0.25">
      <c r="B9" s="7" t="s">
        <v>11</v>
      </c>
      <c r="C9" s="7" t="s">
        <v>4</v>
      </c>
      <c r="E9" s="4" t="s">
        <v>12</v>
      </c>
    </row>
    <row r="10" spans="1:9" x14ac:dyDescent="0.25">
      <c r="B10" s="6" t="s">
        <v>13</v>
      </c>
      <c r="C10" s="9">
        <v>8950</v>
      </c>
    </row>
    <row r="11" spans="1:9" x14ac:dyDescent="0.25">
      <c r="B11" s="6" t="s">
        <v>14</v>
      </c>
      <c r="C11" s="9">
        <v>5050</v>
      </c>
    </row>
    <row r="12" spans="1:9" x14ac:dyDescent="0.25">
      <c r="B12" s="6" t="s">
        <v>15</v>
      </c>
      <c r="C12" s="9">
        <v>9600</v>
      </c>
      <c r="E12" t="str">
        <f>IF(H6=1,"Soma de vendas",IF(H6=2,"Média de vendas","Contagem de vendas"))</f>
        <v>Soma de vendas</v>
      </c>
      <c r="F12" s="14">
        <f>_xlfn.LET(
_xlpm.opcao_calculo,I6,
_xlpm.vendas,C10:C18,
SUBTOTAL(_xlpm.opcao_calculo,_xlpm.vendas))</f>
        <v>72800</v>
      </c>
    </row>
    <row r="13" spans="1:9" x14ac:dyDescent="0.25">
      <c r="B13" s="6" t="s">
        <v>16</v>
      </c>
      <c r="C13" s="9">
        <v>10850</v>
      </c>
    </row>
    <row r="14" spans="1:9" x14ac:dyDescent="0.25">
      <c r="B14" s="6" t="s">
        <v>17</v>
      </c>
      <c r="C14" s="9">
        <v>9700</v>
      </c>
    </row>
    <row r="15" spans="1:9" x14ac:dyDescent="0.25">
      <c r="B15" s="6" t="s">
        <v>18</v>
      </c>
      <c r="C15" s="9">
        <v>5750</v>
      </c>
    </row>
    <row r="16" spans="1:9" x14ac:dyDescent="0.25">
      <c r="B16" s="6" t="s">
        <v>19</v>
      </c>
      <c r="C16" s="9">
        <v>12000</v>
      </c>
    </row>
    <row r="17" spans="2:3" x14ac:dyDescent="0.25">
      <c r="B17" s="6" t="s">
        <v>20</v>
      </c>
      <c r="C17" s="9">
        <v>6850</v>
      </c>
    </row>
    <row r="18" spans="2:3" x14ac:dyDescent="0.25">
      <c r="B18" s="6" t="s">
        <v>21</v>
      </c>
      <c r="C18" s="9">
        <v>4050</v>
      </c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Option Button 1">
              <controlPr defaultSize="0" autoFill="0" autoLine="0" autoPict="0">
                <anchor moveWithCells="1">
                  <from>
                    <xdr:col>0</xdr:col>
                    <xdr:colOff>590550</xdr:colOff>
                    <xdr:row>4</xdr:row>
                    <xdr:rowOff>190500</xdr:rowOff>
                  </from>
                  <to>
                    <xdr:col>1</xdr:col>
                    <xdr:colOff>600075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Option Button 2">
              <controlPr defaultSize="0" autoFill="0" autoLine="0" autoPict="0">
                <anchor moveWithCells="1">
                  <from>
                    <xdr:col>1</xdr:col>
                    <xdr:colOff>704850</xdr:colOff>
                    <xdr:row>4</xdr:row>
                    <xdr:rowOff>171450</xdr:rowOff>
                  </from>
                  <to>
                    <xdr:col>2</xdr:col>
                    <xdr:colOff>85725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Option Button 3">
              <controlPr defaultSize="0" autoFill="0" autoLine="0" autoPict="0">
                <anchor moveWithCells="1">
                  <from>
                    <xdr:col>1</xdr:col>
                    <xdr:colOff>1343025</xdr:colOff>
                    <xdr:row>4</xdr:row>
                    <xdr:rowOff>161925</xdr:rowOff>
                  </from>
                  <to>
                    <xdr:col>2</xdr:col>
                    <xdr:colOff>962025</xdr:colOff>
                    <xdr:row>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Explicação</vt:lpstr>
      <vt:lpstr>Exemplo 1</vt:lpstr>
      <vt:lpstr>Exemplo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Cavalcanti</dc:creator>
  <cp:lastModifiedBy>Marcus Vinicius Cavalcanti de Jesus</cp:lastModifiedBy>
  <dcterms:created xsi:type="dcterms:W3CDTF">2021-01-09T02:48:42Z</dcterms:created>
  <dcterms:modified xsi:type="dcterms:W3CDTF">2021-01-09T12:39:21Z</dcterms:modified>
</cp:coreProperties>
</file>