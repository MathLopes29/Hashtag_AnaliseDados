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ef611a7aa12e5d/2. Hashtag Treinamentos/4. Vídeos/14. Fórmula HISTÓRICODEAÇÕES no Excel/"/>
    </mc:Choice>
  </mc:AlternateContent>
  <xr:revisionPtr revIDLastSave="2" documentId="8_{343F9FED-8D34-4ED7-9F4C-1E61EA7D38F6}" xr6:coauthVersionLast="46" xr6:coauthVersionMax="46" xr10:uidLastSave="{5EEB26C2-2DA6-4108-B752-C9C649CFFEF1}"/>
  <bookViews>
    <workbookView xWindow="-120" yWindow="-120" windowWidth="20730" windowHeight="11760" xr2:uid="{44E458EE-6E4A-4D67-ACDD-8113827DA434}"/>
  </bookViews>
  <sheets>
    <sheet name="Explicação" sheetId="1" r:id="rId1"/>
    <sheet name="Gabarito" sheetId="5" r:id="rId2"/>
    <sheet name="Do Zer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2" l="1"/>
  <c r="B19" i="5"/>
  <c r="D56" i="1" a="1"/>
  <c r="E39" i="1" a="1"/>
  <c r="E5" i="5" a="1"/>
  <c r="D56" i="1" l="1"/>
  <c r="E39" i="1"/>
  <c r="E5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</futureMetadata>
  <cellMetadata count="1">
    <bk>
      <rc t="1" v="0"/>
    </bk>
  </cellMetadata>
  <valueMetadata count="8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</valueMetadata>
</metadata>
</file>

<file path=xl/sharedStrings.xml><?xml version="1.0" encoding="utf-8"?>
<sst xmlns="http://schemas.openxmlformats.org/spreadsheetml/2006/main" count="55" uniqueCount="37">
  <si>
    <r>
      <rPr>
        <sz val="18"/>
        <color theme="0"/>
        <rFont val="Montserrat"/>
      </rPr>
      <t>FUNÇÃO</t>
    </r>
    <r>
      <rPr>
        <sz val="24"/>
        <color rgb="FF6B705C"/>
        <rFont val="Montserrat"/>
      </rPr>
      <t xml:space="preserve"> </t>
    </r>
    <r>
      <rPr>
        <sz val="28"/>
        <color rgb="FFFFE8D6"/>
        <rFont val="Montserrat"/>
      </rPr>
      <t>HISTÓRICODEAÇÕES</t>
    </r>
  </si>
  <si>
    <t>AÇÃO</t>
  </si>
  <si>
    <t>DATA</t>
  </si>
  <si>
    <t>VALE3</t>
  </si>
  <si>
    <t>PETR4</t>
  </si>
  <si>
    <t>DATA INÍCIO</t>
  </si>
  <si>
    <t>DATA FIM</t>
  </si>
  <si>
    <t>Análise</t>
  </si>
  <si>
    <t>Introdução e Exemplos</t>
  </si>
  <si>
    <t>LISTA DE AÇÕES</t>
  </si>
  <si>
    <t>ITUB4</t>
  </si>
  <si>
    <t>BBDC4</t>
  </si>
  <si>
    <t>Argumento</t>
  </si>
  <si>
    <t>Explicação</t>
  </si>
  <si>
    <t>ação</t>
  </si>
  <si>
    <t>data_início</t>
  </si>
  <si>
    <t>data_final</t>
  </si>
  <si>
    <t>intervalo</t>
  </si>
  <si>
    <t>cabeçalhos</t>
  </si>
  <si>
    <t>propriedade0</t>
  </si>
  <si>
    <t>Código da ação desejada</t>
  </si>
  <si>
    <t>Opcional. Última data do período para a qual os valores da ação serão retornados</t>
  </si>
  <si>
    <t>Opcional. Especifica o intervalo que representa cada valor de dados da seguinte maneira: 0 = diário, 1 = semanal, 2 = mensal. O padrão é 0.</t>
  </si>
  <si>
    <t>Opcional. Retorna as datas referentes ao período de análise, começando da data_início até a data_final</t>
  </si>
  <si>
    <t>propriedade1</t>
  </si>
  <si>
    <t>Opcional. Retorna o preço de fechamento do último dia de negociação do período</t>
  </si>
  <si>
    <t>propriedade2</t>
  </si>
  <si>
    <t>propriedade3</t>
  </si>
  <si>
    <t>propriedade4</t>
  </si>
  <si>
    <t>propriedade5</t>
  </si>
  <si>
    <t xml:space="preserve">Opcional. Retorna o preço de abertura do último dia de negociação do período </t>
  </si>
  <si>
    <t xml:space="preserve">Opcional. Retornar o maior preço da maior alta do dia no período </t>
  </si>
  <si>
    <t xml:space="preserve">Opcional. Retornar o menor preço da menor baixa do dia no período </t>
  </si>
  <si>
    <t>Opcional. Retorna o volume negociado durante o período</t>
  </si>
  <si>
    <t>Primeira data do período para a qual os valores da ação serão retornados</t>
  </si>
  <si>
    <t>Opcional. Especifica se os cabeçalhos devem ser exibidos</t>
  </si>
  <si>
    <r>
      <rPr>
        <sz val="18"/>
        <color rgb="FFFFE8D6"/>
        <rFont val="Montserrat"/>
      </rPr>
      <t>FUNÇÃO</t>
    </r>
    <r>
      <rPr>
        <sz val="24"/>
        <color rgb="FF6B705C"/>
        <rFont val="Montserrat"/>
      </rPr>
      <t xml:space="preserve"> </t>
    </r>
    <r>
      <rPr>
        <sz val="28"/>
        <color theme="0"/>
        <rFont val="Montserrat"/>
      </rPr>
      <t>HISTÓRICODEAÇÕES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</si>
</sst>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4"/>
      <color theme="0"/>
      <name val="Montserrat"/>
    </font>
    <font>
      <sz val="11"/>
      <color theme="1"/>
      <name val="Montserrat"/>
    </font>
    <font>
      <sz val="14"/>
      <color theme="0"/>
      <name val="Montserrat"/>
    </font>
    <font>
      <b/>
      <sz val="11"/>
      <color theme="0"/>
      <name val="Calibri"/>
      <family val="2"/>
      <scheme val="minor"/>
    </font>
    <font>
      <sz val="28"/>
      <color rgb="FFFFE8D6"/>
      <name val="Montserrat"/>
    </font>
    <font>
      <sz val="24"/>
      <color rgb="FF6B705C"/>
      <name val="Montserrat"/>
    </font>
    <font>
      <sz val="18"/>
      <color theme="0"/>
      <name val="Montserrat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color rgb="FFFFE8D6"/>
      <name val="Montserrat"/>
    </font>
    <font>
      <sz val="28"/>
      <color theme="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DDBEA9"/>
        <bgColor indexed="64"/>
      </patternFill>
    </fill>
    <fill>
      <patternFill patternType="solid">
        <fgColor rgb="FF6B705C"/>
        <bgColor indexed="64"/>
      </patternFill>
    </fill>
    <fill>
      <patternFill patternType="solid">
        <fgColor rgb="FFFFE8D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997E"/>
      </left>
      <right style="thin">
        <color rgb="FFCB997E"/>
      </right>
      <top style="thin">
        <color rgb="FFCB997E"/>
      </top>
      <bottom style="thin">
        <color rgb="FFCB997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 applyAlignment="1">
      <alignment horizontal="left" indent="2"/>
    </xf>
    <xf numFmtId="0" fontId="2" fillId="3" borderId="0" xfId="0" applyFont="1" applyFill="1"/>
    <xf numFmtId="0" fontId="3" fillId="3" borderId="0" xfId="0" applyFont="1" applyFill="1" applyAlignment="1">
      <alignment horizontal="left" indent="2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/>
    <xf numFmtId="0" fontId="4" fillId="3" borderId="2" xfId="0" applyFont="1" applyFill="1" applyBorder="1"/>
    <xf numFmtId="0" fontId="4" fillId="3" borderId="2" xfId="0" applyFont="1" applyFill="1" applyBorder="1"/>
    <xf numFmtId="0" fontId="0" fillId="4" borderId="2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B705C"/>
      <color rgb="FFFFE8D6"/>
      <color rgb="FFCB997E"/>
      <color rgb="FFDDBEA9"/>
      <color rgb="FFFF1654"/>
      <color rgb="FF70C1B3"/>
      <color rgb="FF24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ichStyles" Target="richData/richStyles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Gabarito!$B$19</c:f>
          <c:strCache>
            <c:ptCount val="1"/>
            <c:pt idx="0">
              <c:v>Fechamento da ação VALE3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Gabarito!$F$5</c:f>
              <c:strCache>
                <c:ptCount val="1"/>
                <c:pt idx="0">
                  <c:v>Fechamento</c:v>
                </c:pt>
              </c:strCache>
            </c:strRef>
          </c:tx>
          <c:spPr>
            <a:ln w="28575" cap="rnd">
              <a:solidFill>
                <a:srgbClr val="6B705C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Gabarito!$E$6:$E$24</c:f>
              <c:numCache>
                <c:formatCode>m/d/yyyy</c:formatCode>
                <c:ptCount val="19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43854</c:v>
                </c:pt>
                <c:pt idx="17">
                  <c:v>43857</c:v>
                </c:pt>
                <c:pt idx="18">
                  <c:v>43858</c:v>
                </c:pt>
              </c:numCache>
            </c:numRef>
          </c:cat>
          <c:val>
            <c:numRef>
              <c:f>Gabarito!$F$6:$F$24</c:f>
              <c:numCache>
                <c:formatCode>_-[$R$-416]\ * #,##0.00_-;\-[$R$-416]\ * #,##0.00_-;_-[$R$-416]\ * "-"??_-;_-@_-</c:formatCode>
                <c:ptCount val="19"/>
                <c:pt idx="0">
                  <c:v>54.33</c:v>
                </c:pt>
                <c:pt idx="1">
                  <c:v>53.93</c:v>
                </c:pt>
                <c:pt idx="2">
                  <c:v>53.61</c:v>
                </c:pt>
                <c:pt idx="3">
                  <c:v>54</c:v>
                </c:pt>
                <c:pt idx="4">
                  <c:v>54.01</c:v>
                </c:pt>
                <c:pt idx="5">
                  <c:v>53.3</c:v>
                </c:pt>
                <c:pt idx="6">
                  <c:v>53.36</c:v>
                </c:pt>
                <c:pt idx="7">
                  <c:v>55.3</c:v>
                </c:pt>
                <c:pt idx="8">
                  <c:v>55.64</c:v>
                </c:pt>
                <c:pt idx="9">
                  <c:v>55.46</c:v>
                </c:pt>
                <c:pt idx="10">
                  <c:v>55.17</c:v>
                </c:pt>
                <c:pt idx="11">
                  <c:v>57</c:v>
                </c:pt>
                <c:pt idx="12">
                  <c:v>57.36</c:v>
                </c:pt>
                <c:pt idx="13">
                  <c:v>56.03</c:v>
                </c:pt>
                <c:pt idx="14">
                  <c:v>56.3</c:v>
                </c:pt>
                <c:pt idx="15">
                  <c:v>55.5</c:v>
                </c:pt>
                <c:pt idx="16">
                  <c:v>53.8</c:v>
                </c:pt>
                <c:pt idx="17">
                  <c:v>50.51</c:v>
                </c:pt>
                <c:pt idx="18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7-4FF8-9E8A-B52E7C7528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3062224"/>
        <c:axId val="713080944"/>
      </c:lineChart>
      <c:dateAx>
        <c:axId val="713062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3080944"/>
        <c:crosses val="autoZero"/>
        <c:auto val="1"/>
        <c:lblOffset val="100"/>
        <c:baseTimeUnit val="days"/>
      </c:dateAx>
      <c:valAx>
        <c:axId val="713080944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71306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12</xdr:row>
      <xdr:rowOff>0</xdr:rowOff>
    </xdr:from>
    <xdr:to>
      <xdr:col>11</xdr:col>
      <xdr:colOff>76200</xdr:colOff>
      <xdr:row>14</xdr:row>
      <xdr:rowOff>152400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66725" y="2781300"/>
          <a:ext cx="6315075" cy="533400"/>
        </a:xfrm>
        <a:prstGeom prst="rect">
          <a:avLst/>
        </a:prstGeom>
        <a:noFill/>
        <a:ln w="28575">
          <a:solidFill>
            <a:srgbClr val="6B705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123824</xdr:colOff>
      <xdr:row>12</xdr:row>
      <xdr:rowOff>114300</xdr:rowOff>
    </xdr:from>
    <xdr:to>
      <xdr:col>14</xdr:col>
      <xdr:colOff>514349</xdr:colOff>
      <xdr:row>14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33424" y="2895600"/>
          <a:ext cx="831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ysClr val="windowText" lastClr="000000"/>
              </a:solidFill>
              <a:latin typeface="Montserrat" panose="02000505000000020004" pitchFamily="2" charset="0"/>
            </a:rPr>
            <a:t>=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 HISTÓRICODEAÇÕES (</a:t>
          </a:r>
          <a:r>
            <a:rPr lang="pt-BR" sz="1600" baseline="0">
              <a:solidFill>
                <a:srgbClr val="CB997E"/>
              </a:solidFill>
              <a:latin typeface="Montserrat" panose="02000505000000020004" pitchFamily="2" charset="0"/>
            </a:rPr>
            <a:t>ação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 </a:t>
          </a:r>
          <a:r>
            <a:rPr lang="pt-BR" sz="1600" baseline="0">
              <a:solidFill>
                <a:srgbClr val="6B705C"/>
              </a:solidFill>
              <a:latin typeface="Montserrat" panose="02000505000000020004" pitchFamily="2" charset="0"/>
            </a:rPr>
            <a:t>data_início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 </a:t>
          </a:r>
          <a:r>
            <a:rPr lang="pt-BR" sz="1600" baseline="0">
              <a:solidFill>
                <a:srgbClr val="FF1654"/>
              </a:solidFill>
              <a:latin typeface="Montserrat" panose="02000505000000020004" pitchFamily="2" charset="0"/>
            </a:rPr>
            <a:t>[data_final]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)</a:t>
          </a:r>
          <a:endParaRPr lang="pt-BR" sz="1600">
            <a:solidFill>
              <a:sysClr val="windowText" lastClr="000000"/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0</xdr:col>
      <xdr:colOff>438149</xdr:colOff>
      <xdr:row>9</xdr:row>
      <xdr:rowOff>104775</xdr:rowOff>
    </xdr:from>
    <xdr:to>
      <xdr:col>4</xdr:col>
      <xdr:colOff>304800</xdr:colOff>
      <xdr:row>11</xdr:row>
      <xdr:rowOff>85725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38149" y="2314575"/>
          <a:ext cx="2686051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rgbClr val="6B705C"/>
              </a:solidFill>
              <a:latin typeface="Montserrat" panose="02000505000000020004" pitchFamily="2" charset="0"/>
            </a:rPr>
            <a:t>2. Estrutura Básica</a:t>
          </a:r>
        </a:p>
      </xdr:txBody>
    </xdr:sp>
    <xdr:clientData/>
  </xdr:twoCellAnchor>
  <xdr:twoCellAnchor>
    <xdr:from>
      <xdr:col>4</xdr:col>
      <xdr:colOff>258832</xdr:colOff>
      <xdr:row>14</xdr:row>
      <xdr:rowOff>94008</xdr:rowOff>
    </xdr:from>
    <xdr:to>
      <xdr:col>4</xdr:col>
      <xdr:colOff>258832</xdr:colOff>
      <xdr:row>17</xdr:row>
      <xdr:rowOff>8283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3489049" y="3257965"/>
          <a:ext cx="0" cy="485775"/>
        </a:xfrm>
        <a:prstGeom prst="straightConnector1">
          <a:avLst/>
        </a:prstGeom>
        <a:ln w="38100">
          <a:solidFill>
            <a:srgbClr val="CB997E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317225</xdr:colOff>
      <xdr:row>17</xdr:row>
      <xdr:rowOff>74958</xdr:rowOff>
    </xdr:from>
    <xdr:to>
      <xdr:col>5</xdr:col>
      <xdr:colOff>168138</xdr:colOff>
      <xdr:row>18</xdr:row>
      <xdr:rowOff>8283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53529" y="3810415"/>
          <a:ext cx="1656522" cy="123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rgbClr val="CB997E"/>
              </a:solidFill>
              <a:latin typeface="Montserrat" panose="02000505000000020004" pitchFamily="2" charset="0"/>
            </a:rPr>
            <a:t>Nome da ação</a:t>
          </a:r>
        </a:p>
      </xdr:txBody>
    </xdr:sp>
    <xdr:clientData/>
  </xdr:twoCellAnchor>
  <xdr:twoCellAnchor>
    <xdr:from>
      <xdr:col>5</xdr:col>
      <xdr:colOff>368162</xdr:colOff>
      <xdr:row>14</xdr:row>
      <xdr:rowOff>113058</xdr:rowOff>
    </xdr:from>
    <xdr:to>
      <xdr:col>5</xdr:col>
      <xdr:colOff>368162</xdr:colOff>
      <xdr:row>18</xdr:row>
      <xdr:rowOff>160683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4410075" y="3277015"/>
          <a:ext cx="0" cy="809625"/>
        </a:xfrm>
        <a:prstGeom prst="straightConnector1">
          <a:avLst/>
        </a:prstGeom>
        <a:ln w="38100">
          <a:solidFill>
            <a:srgbClr val="6B705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424071</xdr:colOff>
      <xdr:row>18</xdr:row>
      <xdr:rowOff>17808</xdr:rowOff>
    </xdr:from>
    <xdr:to>
      <xdr:col>6</xdr:col>
      <xdr:colOff>463412</xdr:colOff>
      <xdr:row>22</xdr:row>
      <xdr:rowOff>113058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654288" y="3943765"/>
          <a:ext cx="146395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rgbClr val="6B705C"/>
              </a:solidFill>
              <a:latin typeface="Montserrat" panose="02000505000000020004" pitchFamily="2" charset="0"/>
            </a:rPr>
            <a:t>Data inicial do período de análise</a:t>
          </a:r>
        </a:p>
      </xdr:txBody>
    </xdr:sp>
    <xdr:clientData/>
  </xdr:twoCellAnchor>
  <xdr:twoCellAnchor>
    <xdr:from>
      <xdr:col>7</xdr:col>
      <xdr:colOff>434837</xdr:colOff>
      <xdr:row>14</xdr:row>
      <xdr:rowOff>113058</xdr:rowOff>
    </xdr:from>
    <xdr:to>
      <xdr:col>7</xdr:col>
      <xdr:colOff>434837</xdr:colOff>
      <xdr:row>21</xdr:row>
      <xdr:rowOff>46383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5702576" y="3277015"/>
          <a:ext cx="0" cy="1266825"/>
        </a:xfrm>
        <a:prstGeom prst="straightConnector1">
          <a:avLst/>
        </a:prstGeom>
        <a:ln w="38100">
          <a:solidFill>
            <a:srgbClr val="FF165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79099</xdr:colOff>
      <xdr:row>20</xdr:row>
      <xdr:rowOff>189258</xdr:rowOff>
    </xdr:from>
    <xdr:to>
      <xdr:col>9</xdr:col>
      <xdr:colOff>177661</xdr:colOff>
      <xdr:row>23</xdr:row>
      <xdr:rowOff>170208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733925" y="4496215"/>
          <a:ext cx="1937301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rgbClr val="FF1654"/>
              </a:solidFill>
              <a:latin typeface="Montserrat" panose="02000505000000020004" pitchFamily="2" charset="0"/>
            </a:rPr>
            <a:t>Data final do período de análise</a:t>
          </a:r>
        </a:p>
      </xdr:txBody>
    </xdr:sp>
    <xdr:clientData/>
  </xdr:twoCellAnchor>
  <xdr:twoCellAnchor>
    <xdr:from>
      <xdr:col>0</xdr:col>
      <xdr:colOff>438149</xdr:colOff>
      <xdr:row>3</xdr:row>
      <xdr:rowOff>47625</xdr:rowOff>
    </xdr:from>
    <xdr:to>
      <xdr:col>4</xdr:col>
      <xdr:colOff>466725</xdr:colOff>
      <xdr:row>5</xdr:row>
      <xdr:rowOff>28575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38149" y="904875"/>
          <a:ext cx="2466976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rgbClr val="6B705C"/>
              </a:solidFill>
              <a:latin typeface="Montserrat" panose="02000505000000020004" pitchFamily="2" charset="0"/>
            </a:rPr>
            <a:t>1. Explicação</a:t>
          </a:r>
        </a:p>
      </xdr:txBody>
    </xdr:sp>
    <xdr:clientData/>
  </xdr:twoCellAnchor>
  <xdr:twoCellAnchor>
    <xdr:from>
      <xdr:col>1</xdr:col>
      <xdr:colOff>123823</xdr:colOff>
      <xdr:row>5</xdr:row>
      <xdr:rowOff>47625</xdr:rowOff>
    </xdr:from>
    <xdr:to>
      <xdr:col>13</xdr:col>
      <xdr:colOff>323850</xdr:colOff>
      <xdr:row>7</xdr:row>
      <xdr:rowOff>161925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733423" y="1495425"/>
          <a:ext cx="7515227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tx1">
                  <a:lumMod val="85000"/>
                  <a:lumOff val="15000"/>
                </a:schemeClr>
              </a:solidFill>
              <a:latin typeface="Montserrat" panose="02000505000000020004" pitchFamily="2" charset="0"/>
            </a:rPr>
            <a:t>A função HISTÓRICODEAÇÕES</a:t>
          </a:r>
          <a:r>
            <a:rPr lang="pt-BR" sz="1100" baseline="0">
              <a:solidFill>
                <a:schemeClr val="tx1">
                  <a:lumMod val="85000"/>
                  <a:lumOff val="15000"/>
                </a:schemeClr>
              </a:solidFill>
              <a:latin typeface="Montserrat" panose="02000505000000020004" pitchFamily="2" charset="0"/>
            </a:rPr>
            <a:t> permite a visualização dos preços históricos de uma determinada ação. É possível obter o preço dessa ação em um dia específico ou para um período de dias de interesse.</a:t>
          </a:r>
          <a:endParaRPr lang="pt-BR" sz="1100">
            <a:solidFill>
              <a:schemeClr val="tx1">
                <a:lumMod val="85000"/>
                <a:lumOff val="15000"/>
              </a:schemeClr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0</xdr:col>
      <xdr:colOff>390525</xdr:colOff>
      <xdr:row>26</xdr:row>
      <xdr:rowOff>28575</xdr:rowOff>
    </xdr:from>
    <xdr:to>
      <xdr:col>2</xdr:col>
      <xdr:colOff>552450</xdr:colOff>
      <xdr:row>27</xdr:row>
      <xdr:rowOff>152400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90525" y="5476875"/>
          <a:ext cx="13811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rgbClr val="6B705C"/>
              </a:solidFill>
              <a:latin typeface="Montserrat" panose="02000505000000020004" pitchFamily="2" charset="0"/>
            </a:rPr>
            <a:t>3. Exemplos</a:t>
          </a:r>
        </a:p>
      </xdr:txBody>
    </xdr:sp>
    <xdr:clientData/>
  </xdr:twoCellAnchor>
  <xdr:twoCellAnchor>
    <xdr:from>
      <xdr:col>1</xdr:col>
      <xdr:colOff>238126</xdr:colOff>
      <xdr:row>28</xdr:row>
      <xdr:rowOff>114301</xdr:rowOff>
    </xdr:from>
    <xdr:to>
      <xdr:col>1</xdr:col>
      <xdr:colOff>600076</xdr:colOff>
      <xdr:row>30</xdr:row>
      <xdr:rowOff>95251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47726" y="5943601"/>
          <a:ext cx="361950" cy="361950"/>
        </a:xfrm>
        <a:prstGeom prst="ellipse">
          <a:avLst/>
        </a:prstGeom>
        <a:solidFill>
          <a:srgbClr val="CB997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Montserrat" panose="02000505000000020004" pitchFamily="2" charset="0"/>
            </a:rPr>
            <a:t>1</a:t>
          </a:r>
        </a:p>
      </xdr:txBody>
    </xdr:sp>
    <xdr:clientData/>
  </xdr:twoCellAnchor>
  <xdr:twoCellAnchor>
    <xdr:from>
      <xdr:col>1</xdr:col>
      <xdr:colOff>219076</xdr:colOff>
      <xdr:row>43</xdr:row>
      <xdr:rowOff>95251</xdr:rowOff>
    </xdr:from>
    <xdr:to>
      <xdr:col>1</xdr:col>
      <xdr:colOff>581026</xdr:colOff>
      <xdr:row>45</xdr:row>
      <xdr:rowOff>76201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28676" y="8382001"/>
          <a:ext cx="361950" cy="361950"/>
        </a:xfrm>
        <a:prstGeom prst="ellipse">
          <a:avLst/>
        </a:prstGeom>
        <a:solidFill>
          <a:srgbClr val="CB997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Montserrat" panose="02000505000000020004" pitchFamily="2" charset="0"/>
            </a:rPr>
            <a:t>2</a:t>
          </a:r>
        </a:p>
      </xdr:txBody>
    </xdr:sp>
    <xdr:clientData/>
  </xdr:twoCellAnchor>
  <xdr:twoCellAnchor>
    <xdr:from>
      <xdr:col>2</xdr:col>
      <xdr:colOff>0</xdr:colOff>
      <xdr:row>31</xdr:row>
      <xdr:rowOff>133350</xdr:rowOff>
    </xdr:from>
    <xdr:to>
      <xdr:col>11</xdr:col>
      <xdr:colOff>533400</xdr:colOff>
      <xdr:row>33</xdr:row>
      <xdr:rowOff>114300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219200" y="6534150"/>
          <a:ext cx="60198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ysClr val="windowText" lastClr="000000"/>
              </a:solidFill>
              <a:latin typeface="Montserrat" panose="02000505000000020004" pitchFamily="2" charset="0"/>
            </a:rPr>
            <a:t>=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 HISTÓRICODEAÇÕES (</a:t>
          </a:r>
          <a:r>
            <a:rPr lang="pt-BR" sz="1600" baseline="0">
              <a:solidFill>
                <a:srgbClr val="CB997E"/>
              </a:solidFill>
              <a:latin typeface="Montserrat" panose="02000505000000020004" pitchFamily="2" charset="0"/>
            </a:rPr>
            <a:t>"VALE3"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 </a:t>
          </a:r>
          <a:r>
            <a:rPr lang="pt-BR" sz="1600" baseline="0">
              <a:solidFill>
                <a:srgbClr val="6B705C"/>
              </a:solidFill>
              <a:latin typeface="Montserrat" panose="02000505000000020004" pitchFamily="2" charset="0"/>
            </a:rPr>
            <a:t>"15/01/2021"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)</a:t>
          </a:r>
          <a:endParaRPr lang="pt-BR" sz="1600">
            <a:solidFill>
              <a:sysClr val="windowText" lastClr="000000"/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1</xdr:col>
      <xdr:colOff>698637</xdr:colOff>
      <xdr:row>28</xdr:row>
      <xdr:rowOff>188844</xdr:rowOff>
    </xdr:from>
    <xdr:to>
      <xdr:col>13</xdr:col>
      <xdr:colOff>501099</xdr:colOff>
      <xdr:row>31</xdr:row>
      <xdr:rowOff>112644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22A6A470-96EF-4C63-8790-EE36F7CECCA9}"/>
            </a:ext>
          </a:extLst>
        </xdr:cNvPr>
        <xdr:cNvSpPr txBox="1"/>
      </xdr:nvSpPr>
      <xdr:spPr>
        <a:xfrm>
          <a:off x="1311550" y="6019801"/>
          <a:ext cx="8134766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tx1">
                  <a:lumMod val="85000"/>
                  <a:lumOff val="15000"/>
                </a:schemeClr>
              </a:solidFill>
              <a:latin typeface="Montserrat" panose="02000505000000020004" pitchFamily="2" charset="0"/>
            </a:rPr>
            <a:t>Calcule o valor da ação VALE3</a:t>
          </a:r>
          <a:r>
            <a:rPr lang="pt-BR" sz="1100" baseline="0">
              <a:solidFill>
                <a:schemeClr val="tx1">
                  <a:lumMod val="85000"/>
                  <a:lumOff val="15000"/>
                </a:schemeClr>
              </a:solidFill>
              <a:latin typeface="Montserrat" panose="02000505000000020004" pitchFamily="2" charset="0"/>
            </a:rPr>
            <a:t> no dia 15/01/2021.</a:t>
          </a:r>
          <a:endParaRPr lang="pt-BR" sz="1100">
            <a:solidFill>
              <a:schemeClr val="tx1">
                <a:lumMod val="85000"/>
                <a:lumOff val="15000"/>
              </a:schemeClr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1</xdr:col>
      <xdr:colOff>687870</xdr:colOff>
      <xdr:row>43</xdr:row>
      <xdr:rowOff>160683</xdr:rowOff>
    </xdr:from>
    <xdr:to>
      <xdr:col>13</xdr:col>
      <xdr:colOff>490332</xdr:colOff>
      <xdr:row>46</xdr:row>
      <xdr:rowOff>84483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CAB6402-7BE5-44C3-B0CE-1F2B6E056EA6}"/>
            </a:ext>
          </a:extLst>
        </xdr:cNvPr>
        <xdr:cNvSpPr txBox="1"/>
      </xdr:nvSpPr>
      <xdr:spPr>
        <a:xfrm>
          <a:off x="1300783" y="8849140"/>
          <a:ext cx="8134766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tx1">
                  <a:lumMod val="85000"/>
                  <a:lumOff val="15000"/>
                </a:schemeClr>
              </a:solidFill>
              <a:latin typeface="Montserrat" panose="02000505000000020004" pitchFamily="2" charset="0"/>
            </a:rPr>
            <a:t>Calcule o valor da ação PETR4</a:t>
          </a:r>
          <a:r>
            <a:rPr lang="pt-BR" sz="1100" baseline="0">
              <a:solidFill>
                <a:schemeClr val="tx1">
                  <a:lumMod val="85000"/>
                  <a:lumOff val="15000"/>
                </a:schemeClr>
              </a:solidFill>
              <a:latin typeface="Montserrat" panose="02000505000000020004" pitchFamily="2" charset="0"/>
            </a:rPr>
            <a:t> no período do dia 01/11/2020 até 30/11/2020.</a:t>
          </a:r>
          <a:endParaRPr lang="pt-BR" sz="1100">
            <a:solidFill>
              <a:schemeClr val="tx1">
                <a:lumMod val="85000"/>
                <a:lumOff val="15000"/>
              </a:schemeClr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1</xdr:col>
      <xdr:colOff>600075</xdr:colOff>
      <xdr:row>46</xdr:row>
      <xdr:rowOff>76200</xdr:rowOff>
    </xdr:from>
    <xdr:to>
      <xdr:col>11</xdr:col>
      <xdr:colOff>523875</xdr:colOff>
      <xdr:row>48</xdr:row>
      <xdr:rowOff>57150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4EC81184-A54A-4335-9E8D-026E033B996E}"/>
            </a:ext>
          </a:extLst>
        </xdr:cNvPr>
        <xdr:cNvSpPr txBox="1"/>
      </xdr:nvSpPr>
      <xdr:spPr>
        <a:xfrm>
          <a:off x="1209675" y="9334500"/>
          <a:ext cx="64198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ysClr val="windowText" lastClr="000000"/>
              </a:solidFill>
              <a:latin typeface="Montserrat" panose="02000505000000020004" pitchFamily="2" charset="0"/>
            </a:rPr>
            <a:t>=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 HISTÓRICODEAÇÕES (</a:t>
          </a:r>
          <a:r>
            <a:rPr lang="pt-BR" sz="1600" baseline="0">
              <a:solidFill>
                <a:srgbClr val="CB997E"/>
              </a:solidFill>
              <a:latin typeface="Montserrat" panose="02000505000000020004" pitchFamily="2" charset="0"/>
            </a:rPr>
            <a:t>"PETR4"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 </a:t>
          </a:r>
          <a:r>
            <a:rPr lang="pt-BR" sz="1600" baseline="0">
              <a:solidFill>
                <a:srgbClr val="6B705C"/>
              </a:solidFill>
              <a:latin typeface="Montserrat" panose="02000505000000020004" pitchFamily="2" charset="0"/>
            </a:rPr>
            <a:t>"01/11/2020"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</a:t>
          </a:r>
          <a:r>
            <a:rPr lang="pt-BR" sz="1600" baseline="0">
              <a:solidFill>
                <a:srgbClr val="FF1654"/>
              </a:solidFill>
              <a:latin typeface="Montserrat" panose="02000505000000020004" pitchFamily="2" charset="0"/>
            </a:rPr>
            <a:t>"30/11/2020"</a:t>
          </a:r>
          <a:r>
            <a:rPr lang="pt-BR" sz="16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)</a:t>
          </a:r>
          <a:endParaRPr lang="pt-BR" sz="1600">
            <a:solidFill>
              <a:sysClr val="windowText" lastClr="000000"/>
            </a:solidFill>
            <a:latin typeface="Montserrat" panose="02000505000000020004" pitchFamily="2" charset="0"/>
          </a:endParaRPr>
        </a:p>
      </xdr:txBody>
    </xdr:sp>
    <xdr:clientData/>
  </xdr:twoCellAnchor>
  <xdr:twoCellAnchor>
    <xdr:from>
      <xdr:col>1</xdr:col>
      <xdr:colOff>28574</xdr:colOff>
      <xdr:row>82</xdr:row>
      <xdr:rowOff>85725</xdr:rowOff>
    </xdr:from>
    <xdr:to>
      <xdr:col>21</xdr:col>
      <xdr:colOff>224117</xdr:colOff>
      <xdr:row>85</xdr:row>
      <xdr:rowOff>47625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952CC529-037F-4641-8DDB-C2DA9A33E9A8}"/>
            </a:ext>
          </a:extLst>
        </xdr:cNvPr>
        <xdr:cNvSpPr/>
      </xdr:nvSpPr>
      <xdr:spPr>
        <a:xfrm>
          <a:off x="633692" y="16210990"/>
          <a:ext cx="12880601" cy="533400"/>
        </a:xfrm>
        <a:prstGeom prst="rect">
          <a:avLst/>
        </a:prstGeom>
        <a:noFill/>
        <a:ln w="28575">
          <a:solidFill>
            <a:srgbClr val="6B705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295275</xdr:colOff>
      <xdr:row>83</xdr:row>
      <xdr:rowOff>9525</xdr:rowOff>
    </xdr:from>
    <xdr:to>
      <xdr:col>20</xdr:col>
      <xdr:colOff>537882</xdr:colOff>
      <xdr:row>84</xdr:row>
      <xdr:rowOff>180975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1C526478-20E1-460A-9FE3-20A923B8F1D2}"/>
            </a:ext>
          </a:extLst>
        </xdr:cNvPr>
        <xdr:cNvSpPr txBox="1"/>
      </xdr:nvSpPr>
      <xdr:spPr>
        <a:xfrm>
          <a:off x="900393" y="16325290"/>
          <a:ext cx="12322548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ysClr val="windowText" lastClr="000000"/>
              </a:solidFill>
              <a:latin typeface="Montserrat" panose="02000505000000020004" pitchFamily="2" charset="0"/>
            </a:rPr>
            <a:t>=</a:t>
          </a:r>
          <a:r>
            <a:rPr lang="pt-BR" sz="11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 HISTÓRICODEAÇÕES (</a:t>
          </a:r>
          <a:r>
            <a:rPr lang="pt-BR" sz="1100" baseline="0">
              <a:solidFill>
                <a:srgbClr val="CB997E"/>
              </a:solidFill>
              <a:latin typeface="Montserrat" panose="02000505000000020004" pitchFamily="2" charset="0"/>
            </a:rPr>
            <a:t>ação</a:t>
          </a:r>
          <a:r>
            <a:rPr lang="pt-BR" sz="11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 </a:t>
          </a:r>
          <a:r>
            <a:rPr lang="pt-BR" sz="1100" baseline="0">
              <a:solidFill>
                <a:srgbClr val="6B705C"/>
              </a:solidFill>
              <a:latin typeface="Montserrat" panose="02000505000000020004" pitchFamily="2" charset="0"/>
            </a:rPr>
            <a:t>data_início</a:t>
          </a:r>
          <a:r>
            <a:rPr lang="pt-BR" sz="11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 </a:t>
          </a:r>
          <a:r>
            <a:rPr lang="pt-BR" sz="1100" baseline="0">
              <a:solidFill>
                <a:srgbClr val="FF1654"/>
              </a:solidFill>
              <a:latin typeface="Montserrat" panose="02000505000000020004" pitchFamily="2" charset="0"/>
            </a:rPr>
            <a:t>[data_final]</a:t>
          </a:r>
          <a:r>
            <a:rPr lang="pt-BR" sz="1100" baseline="0">
              <a:solidFill>
                <a:sysClr val="windowText" lastClr="000000"/>
              </a:solidFill>
              <a:latin typeface="Montserrat" panose="02000505000000020004" pitchFamily="2" charset="0"/>
            </a:rPr>
            <a:t>;[intervalo];[cabeçalhos];[propriedade0</a:t>
          </a:r>
          <a:r>
            <a:rPr lang="pt-BR" sz="1100" baseline="0">
              <a:solidFill>
                <a:sysClr val="windowText" lastClr="000000"/>
              </a:solidFill>
              <a:latin typeface="Montserrat" panose="02000505000000020004" pitchFamily="2" charset="0"/>
              <a:ea typeface="+mn-ea"/>
              <a:cs typeface="+mn-cs"/>
            </a:rPr>
            <a:t>];[propriedade1];[propriedade2];[propriedade3];[propriedade4];propriedade4])</a:t>
          </a:r>
        </a:p>
      </xdr:txBody>
    </xdr:sp>
    <xdr:clientData/>
  </xdr:twoCellAnchor>
  <xdr:twoCellAnchor>
    <xdr:from>
      <xdr:col>1</xdr:col>
      <xdr:colOff>0</xdr:colOff>
      <xdr:row>80</xdr:row>
      <xdr:rowOff>0</xdr:rowOff>
    </xdr:from>
    <xdr:to>
      <xdr:col>4</xdr:col>
      <xdr:colOff>476251</xdr:colOff>
      <xdr:row>81</xdr:row>
      <xdr:rowOff>171450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62E56ED1-2742-425F-87CA-7F785E0375AF}"/>
            </a:ext>
          </a:extLst>
        </xdr:cNvPr>
        <xdr:cNvSpPr txBox="1"/>
      </xdr:nvSpPr>
      <xdr:spPr>
        <a:xfrm>
          <a:off x="609600" y="15735300"/>
          <a:ext cx="2686051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rgbClr val="6B705C"/>
              </a:solidFill>
              <a:latin typeface="Montserrat" panose="02000505000000020004" pitchFamily="2" charset="0"/>
            </a:rPr>
            <a:t>4. Estrutura Completa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476249</xdr:colOff>
      <xdr:row>4</xdr:row>
      <xdr:rowOff>19049</xdr:rowOff>
    </xdr:from>
    <xdr:to>
      <xdr:col>16</xdr:col>
      <xdr:colOff>209550</xdr:colOff>
      <xdr:row>16</xdr:row>
      <xdr:rowOff>147636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A89AD2-C4B0-45FC-9549-D47E537F1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">
    <v t="i">0</v>
  </a>
  <a r="1">
    <v>97.8</v>
  </a>
  <a r="1" c="22"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</a>
  <a r="1" c="22">
    <v>54.33</v>
    <v>53.93</v>
    <v>53.61</v>
    <v>54</v>
    <v>54.01</v>
    <v>53.3</v>
    <v>53.36</v>
    <v>55.3</v>
    <v>55.64</v>
    <v>55.46</v>
    <v>55.17</v>
    <v>57</v>
    <v>57.36</v>
    <v>56.03</v>
    <v>56.3</v>
    <v>55.5</v>
    <v>53.8</v>
    <v>50.51</v>
    <v>51.2</v>
    <v>50.75</v>
    <v>51.5</v>
    <v>50.27</v>
  </a>
  <a r="1" c="20">
    <v t="i">2</v>
    <v t="i">3</v>
    <v t="i">4</v>
    <v t="i">5</v>
    <v t="i">8</v>
    <v t="i">9</v>
    <v t="i">10</v>
    <v t="i">11</v>
    <v t="i">12</v>
    <v t="i">15</v>
    <v t="i">16</v>
    <v t="i">17</v>
    <v t="i">18</v>
    <v t="i">19</v>
    <v t="i">22</v>
    <v t="i">23</v>
    <v t="i">24</v>
    <v t="i">25</v>
    <v t="i">26</v>
    <v t="i">29</v>
  </a>
  <a r="1" c="20">
    <v>19.649999999999999</v>
    <v>19.72</v>
    <v>19.89</v>
    <v>19.75</v>
    <v>21.61</v>
    <v>23.08</v>
    <v>22.88</v>
    <v>21.91</v>
    <v>22.63</v>
    <v>23.29</v>
    <v>23.69</v>
    <v>23.55</v>
    <v>23.82</v>
    <v>23.65</v>
    <v>25.1</v>
    <v>26.22</v>
    <v>26.25</v>
    <v>25.82</v>
    <v>25.5</v>
    <v>24.9</v>
  </a>
</arrayData>
</file>

<file path=xl/richData/rdrichvalue.xml><?xml version="1.0" encoding="utf-8"?>
<rvData xmlns="http://schemas.microsoft.com/office/spreadsheetml/2017/richdata" count="89">
  <rv s="0">
    <fb>44210</fb>
    <v>0</v>
  </rv>
  <rv s="0">
    <fb>97.8</fb>
    <v>1</v>
  </rv>
  <rv s="0">
    <fb>44138</fb>
    <v>0</v>
  </rv>
  <rv s="0">
    <fb>19.649999999999999</fb>
    <v>1</v>
  </rv>
  <rv s="0">
    <fb>44139</fb>
    <v>0</v>
  </rv>
  <rv s="0">
    <fb>19.72</fb>
    <v>1</v>
  </rv>
  <rv s="0">
    <fb>44140</fb>
    <v>0</v>
  </rv>
  <rv s="0">
    <fb>19.89</fb>
    <v>1</v>
  </rv>
  <rv s="0">
    <fb>44141</fb>
    <v>0</v>
  </rv>
  <rv s="0">
    <fb>19.75</fb>
    <v>1</v>
  </rv>
  <rv s="0">
    <fb>44144</fb>
    <v>0</v>
  </rv>
  <rv s="0">
    <fb>21.61</fb>
    <v>1</v>
  </rv>
  <rv s="0">
    <fb>44145</fb>
    <v>0</v>
  </rv>
  <rv s="0">
    <fb>23.08</fb>
    <v>1</v>
  </rv>
  <rv s="0">
    <fb>44146</fb>
    <v>0</v>
  </rv>
  <rv s="0">
    <fb>22.88</fb>
    <v>1</v>
  </rv>
  <rv s="0">
    <fb>44147</fb>
    <v>0</v>
  </rv>
  <rv s="0">
    <fb>21.91</fb>
    <v>1</v>
  </rv>
  <rv s="0">
    <fb>44148</fb>
    <v>0</v>
  </rv>
  <rv s="0">
    <fb>22.63</fb>
    <v>1</v>
  </rv>
  <rv s="0">
    <fb>44151</fb>
    <v>0</v>
  </rv>
  <rv s="0">
    <fb>23.29</fb>
    <v>1</v>
  </rv>
  <rv s="0">
    <fb>44152</fb>
    <v>0</v>
  </rv>
  <rv s="0">
    <fb>23.69</fb>
    <v>1</v>
  </rv>
  <rv s="0">
    <fb>44153</fb>
    <v>0</v>
  </rv>
  <rv s="0">
    <fb>23.55</fb>
    <v>1</v>
  </rv>
  <rv s="0">
    <fb>44154</fb>
    <v>0</v>
  </rv>
  <rv s="0">
    <fb>23.82</fb>
    <v>1</v>
  </rv>
  <rv s="0">
    <fb>44155</fb>
    <v>0</v>
  </rv>
  <rv s="0">
    <fb>23.65</fb>
    <v>1</v>
  </rv>
  <rv s="0">
    <fb>44158</fb>
    <v>0</v>
  </rv>
  <rv s="0">
    <fb>25.1</fb>
    <v>1</v>
  </rv>
  <rv s="0">
    <fb>44159</fb>
    <v>0</v>
  </rv>
  <rv s="0">
    <fb>26.22</fb>
    <v>1</v>
  </rv>
  <rv s="0">
    <fb>44160</fb>
    <v>0</v>
  </rv>
  <rv s="0">
    <fb>26.25</fb>
    <v>1</v>
  </rv>
  <rv s="0">
    <fb>44161</fb>
    <v>0</v>
  </rv>
  <rv s="0">
    <fb>25.82</fb>
    <v>1</v>
  </rv>
  <rv s="0">
    <fb>44162</fb>
    <v>0</v>
  </rv>
  <rv s="0">
    <fb>25.5</fb>
    <v>1</v>
  </rv>
  <rv s="0">
    <fb>44165</fb>
    <v>0</v>
  </rv>
  <rv s="0">
    <fb>24.9</fb>
    <v>1</v>
  </rv>
  <rv s="0">
    <fb>43832</fb>
    <v>0</v>
  </rv>
  <rv s="0">
    <fb>54.33</fb>
    <v>1</v>
  </rv>
  <rv s="0">
    <fb>43833</fb>
    <v>0</v>
  </rv>
  <rv s="0">
    <fb>53.93</fb>
    <v>1</v>
  </rv>
  <rv s="0">
    <fb>43836</fb>
    <v>0</v>
  </rv>
  <rv s="0">
    <fb>53.61</fb>
    <v>1</v>
  </rv>
  <rv s="0">
    <fb>43837</fb>
    <v>0</v>
  </rv>
  <rv s="0">
    <fb>54</fb>
    <v>1</v>
  </rv>
  <rv s="0">
    <fb>43838</fb>
    <v>0</v>
  </rv>
  <rv s="0">
    <fb>54.01</fb>
    <v>1</v>
  </rv>
  <rv s="0">
    <fb>43839</fb>
    <v>0</v>
  </rv>
  <rv s="0">
    <fb>53.3</fb>
    <v>1</v>
  </rv>
  <rv s="0">
    <fb>43840</fb>
    <v>0</v>
  </rv>
  <rv s="0">
    <fb>53.36</fb>
    <v>1</v>
  </rv>
  <rv s="0">
    <fb>43843</fb>
    <v>0</v>
  </rv>
  <rv s="0">
    <fb>55.3</fb>
    <v>1</v>
  </rv>
  <rv s="0">
    <fb>43844</fb>
    <v>0</v>
  </rv>
  <rv s="0">
    <fb>55.64</fb>
    <v>1</v>
  </rv>
  <rv s="0">
    <fb>43845</fb>
    <v>0</v>
  </rv>
  <rv s="0">
    <fb>55.46</fb>
    <v>1</v>
  </rv>
  <rv s="0">
    <fb>43846</fb>
    <v>0</v>
  </rv>
  <rv s="0">
    <fb>55.17</fb>
    <v>1</v>
  </rv>
  <rv s="0">
    <fb>43847</fb>
    <v>0</v>
  </rv>
  <rv s="0">
    <fb>57</fb>
    <v>1</v>
  </rv>
  <rv s="0">
    <fb>43850</fb>
    <v>0</v>
  </rv>
  <rv s="0">
    <fb>57.36</fb>
    <v>1</v>
  </rv>
  <rv s="0">
    <fb>43851</fb>
    <v>0</v>
  </rv>
  <rv s="0">
    <fb>56.03</fb>
    <v>1</v>
  </rv>
  <rv s="0">
    <fb>43852</fb>
    <v>0</v>
  </rv>
  <rv s="0">
    <fb>56.3</fb>
    <v>1</v>
  </rv>
  <rv s="0">
    <fb>43853</fb>
    <v>0</v>
  </rv>
  <rv s="0">
    <fb>55.5</fb>
    <v>1</v>
  </rv>
  <rv s="0">
    <fb>43854</fb>
    <v>0</v>
  </rv>
  <rv s="0">
    <fb>53.8</fb>
    <v>1</v>
  </rv>
  <rv s="0">
    <fb>43857</fb>
    <v>0</v>
  </rv>
  <rv s="0">
    <fb>50.51</fb>
    <v>1</v>
  </rv>
  <rv s="0">
    <fb>43858</fb>
    <v>0</v>
  </rv>
  <rv s="0">
    <fb>51.2</fb>
    <v>1</v>
  </rv>
  <rv s="0">
    <fb>43859</fb>
    <v>0</v>
  </rv>
  <rv s="0">
    <fb>50.75</fb>
    <v>1</v>
  </rv>
  <rv s="0">
    <fb>43860</fb>
    <v>0</v>
  </rv>
  <rv s="0">
    <fb>51.5</fb>
    <v>1</v>
  </rv>
  <rv s="0">
    <fb>43861</fb>
    <v>0</v>
  </rv>
  <rv s="0">
    <fb>50.27</fb>
    <v>1</v>
  </rv>
  <rv s="1">
    <v>2</v>
    <v>VALE3</v>
    <v>Daily</v>
    <v>44210</v>
    <v>44210</v>
    <v>0</v>
    <v>1</v>
    <v>637461792000000000,637493389409404934,0</v>
    <v>0</v>
    <v>apnjsm</v>
    <v>BVMF:VALE3</v>
    <v>1</v>
  </rv>
  <rv s="1">
    <v>2</v>
    <v>VALE3</v>
    <v>Daily</v>
    <v>43831</v>
    <v>43861</v>
    <v>0</v>
    <v>1</v>
    <v>637160256000000000,637493396480053204,0</v>
    <v>2</v>
    <v>apnjsm</v>
    <v>BVMF:VALE3</v>
    <v>3</v>
  </rv>
  <rv s="1">
    <v>2</v>
    <v>PETR4</v>
    <v>Daily</v>
    <v>44136</v>
    <v>44165</v>
    <v>0</v>
    <v>1</v>
    <v>637422912000000000,637493390272898744,0</v>
    <v>4</v>
    <v>apn4gh</v>
    <v>BVMF:PETR4</v>
    <v>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165" formatCode="_-[$R$-416]\ * #,##0.00_-;\-[$R$-416]\ * #,##0.00_-;_-[$R$-416]\ * &quot;-&quot;??_-;_-@_-"/>
    </x:dxf>
  </dxfs>
  <richStyles>
    <rSty dxfid="0"/>
    <rSty dxfid="1"/>
  </richStyles>
</richStyleShee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D157-3098-4B13-A5CA-5B772E3D9CE0}">
  <dimension ref="A1:O99"/>
  <sheetViews>
    <sheetView showGridLines="0" tabSelected="1" zoomScale="85" zoomScaleNormal="85" workbookViewId="0">
      <pane ySplit="2" topLeftCell="A3" activePane="bottomLeft" state="frozen"/>
      <selection pane="bottomLeft" activeCell="C91" sqref="C91:O91"/>
    </sheetView>
  </sheetViews>
  <sheetFormatPr defaultRowHeight="15" x14ac:dyDescent="0.25"/>
  <cols>
    <col min="2" max="2" width="15.140625" customWidth="1"/>
    <col min="4" max="4" width="14.85546875" customWidth="1"/>
    <col min="5" max="5" width="12.140625" customWidth="1"/>
    <col min="6" max="6" width="14.85546875" customWidth="1"/>
  </cols>
  <sheetData>
    <row r="1" spans="1:1" s="2" customFormat="1" ht="52.5" customHeight="1" x14ac:dyDescent="0.5">
      <c r="A1" s="1" t="s">
        <v>36</v>
      </c>
    </row>
    <row r="2" spans="1:1" s="2" customFormat="1" ht="16.5" customHeight="1" x14ac:dyDescent="0.3">
      <c r="A2" s="3" t="s">
        <v>8</v>
      </c>
    </row>
    <row r="36" spans="4:6" x14ac:dyDescent="0.25">
      <c r="D36" s="6" t="s">
        <v>1</v>
      </c>
      <c r="E36" s="4" t="s">
        <v>3</v>
      </c>
    </row>
    <row r="37" spans="4:6" x14ac:dyDescent="0.25">
      <c r="D37" s="6" t="s">
        <v>2</v>
      </c>
      <c r="E37" s="5">
        <v>44210</v>
      </c>
    </row>
    <row r="39" spans="4:6" x14ac:dyDescent="0.25">
      <c r="E39" t="str" cm="1">
        <f t="array" aca="1" ref="E39:F40" ca="1">_xlfn.STOCKHISTORY(E36,E37)</f>
        <v>Data</v>
      </c>
      <c r="F39" t="str">
        <f ca="1"/>
        <v>Fechamento</v>
      </c>
    </row>
    <row r="40" spans="4:6" x14ac:dyDescent="0.25">
      <c r="E40" vm="1">
        <f ca="1"/>
        <v>44210</v>
      </c>
      <c r="F40" vm="2">
        <f ca="1"/>
        <v>97.8</v>
      </c>
    </row>
    <row r="51" spans="4:5" x14ac:dyDescent="0.25">
      <c r="D51" s="6" t="s">
        <v>1</v>
      </c>
      <c r="E51" s="4" t="s">
        <v>4</v>
      </c>
    </row>
    <row r="52" spans="4:5" x14ac:dyDescent="0.25">
      <c r="D52" s="6" t="s">
        <v>5</v>
      </c>
      <c r="E52" s="5">
        <v>44136</v>
      </c>
    </row>
    <row r="53" spans="4:5" x14ac:dyDescent="0.25">
      <c r="D53" s="6" t="s">
        <v>6</v>
      </c>
      <c r="E53" s="5">
        <v>44165</v>
      </c>
    </row>
    <row r="56" spans="4:5" x14ac:dyDescent="0.25">
      <c r="D56" t="str" cm="1">
        <f t="array" aca="1" ref="D56:E76" ca="1">_xlfn.STOCKHISTORY(E51,E52,E53)</f>
        <v>Data</v>
      </c>
      <c r="E56" t="str">
        <f ca="1"/>
        <v>Fechamento</v>
      </c>
    </row>
    <row r="57" spans="4:5" x14ac:dyDescent="0.25">
      <c r="D57" vm="3">
        <f ca="1"/>
        <v>44138</v>
      </c>
      <c r="E57" vm="4">
        <f ca="1"/>
        <v>19.649999999999999</v>
      </c>
    </row>
    <row r="58" spans="4:5" x14ac:dyDescent="0.25">
      <c r="D58" vm="5">
        <f ca="1"/>
        <v>44139</v>
      </c>
      <c r="E58" vm="6">
        <f ca="1"/>
        <v>19.72</v>
      </c>
    </row>
    <row r="59" spans="4:5" x14ac:dyDescent="0.25">
      <c r="D59" vm="7">
        <f ca="1"/>
        <v>44140</v>
      </c>
      <c r="E59" vm="8">
        <f ca="1"/>
        <v>19.89</v>
      </c>
    </row>
    <row r="60" spans="4:5" x14ac:dyDescent="0.25">
      <c r="D60" vm="9">
        <f ca="1"/>
        <v>44141</v>
      </c>
      <c r="E60" vm="10">
        <f ca="1"/>
        <v>19.75</v>
      </c>
    </row>
    <row r="61" spans="4:5" x14ac:dyDescent="0.25">
      <c r="D61" vm="11">
        <f ca="1"/>
        <v>44144</v>
      </c>
      <c r="E61" vm="12">
        <f ca="1"/>
        <v>21.61</v>
      </c>
    </row>
    <row r="62" spans="4:5" x14ac:dyDescent="0.25">
      <c r="D62" vm="13">
        <f ca="1"/>
        <v>44145</v>
      </c>
      <c r="E62" vm="14">
        <f ca="1"/>
        <v>23.08</v>
      </c>
    </row>
    <row r="63" spans="4:5" x14ac:dyDescent="0.25">
      <c r="D63" vm="15">
        <f ca="1"/>
        <v>44146</v>
      </c>
      <c r="E63" vm="16">
        <f ca="1"/>
        <v>22.88</v>
      </c>
    </row>
    <row r="64" spans="4:5" x14ac:dyDescent="0.25">
      <c r="D64" vm="17">
        <f ca="1"/>
        <v>44147</v>
      </c>
      <c r="E64" vm="18">
        <f ca="1"/>
        <v>21.91</v>
      </c>
    </row>
    <row r="65" spans="4:5" x14ac:dyDescent="0.25">
      <c r="D65" vm="19">
        <f ca="1"/>
        <v>44148</v>
      </c>
      <c r="E65" vm="20">
        <f ca="1"/>
        <v>22.63</v>
      </c>
    </row>
    <row r="66" spans="4:5" x14ac:dyDescent="0.25">
      <c r="D66" vm="21">
        <f ca="1"/>
        <v>44151</v>
      </c>
      <c r="E66" vm="22">
        <f ca="1"/>
        <v>23.29</v>
      </c>
    </row>
    <row r="67" spans="4:5" x14ac:dyDescent="0.25">
      <c r="D67" vm="23">
        <f ca="1"/>
        <v>44152</v>
      </c>
      <c r="E67" vm="24">
        <f ca="1"/>
        <v>23.69</v>
      </c>
    </row>
    <row r="68" spans="4:5" x14ac:dyDescent="0.25">
      <c r="D68" vm="25">
        <f ca="1"/>
        <v>44153</v>
      </c>
      <c r="E68" vm="26">
        <f ca="1"/>
        <v>23.55</v>
      </c>
    </row>
    <row r="69" spans="4:5" x14ac:dyDescent="0.25">
      <c r="D69" vm="27">
        <f ca="1"/>
        <v>44154</v>
      </c>
      <c r="E69" vm="28">
        <f ca="1"/>
        <v>23.82</v>
      </c>
    </row>
    <row r="70" spans="4:5" x14ac:dyDescent="0.25">
      <c r="D70" vm="29">
        <f ca="1"/>
        <v>44155</v>
      </c>
      <c r="E70" vm="30">
        <f ca="1"/>
        <v>23.65</v>
      </c>
    </row>
    <row r="71" spans="4:5" x14ac:dyDescent="0.25">
      <c r="D71" vm="31">
        <f ca="1"/>
        <v>44158</v>
      </c>
      <c r="E71" vm="32">
        <f ca="1"/>
        <v>25.1</v>
      </c>
    </row>
    <row r="72" spans="4:5" x14ac:dyDescent="0.25">
      <c r="D72" vm="33">
        <f ca="1"/>
        <v>44159</v>
      </c>
      <c r="E72" vm="34">
        <f ca="1"/>
        <v>26.22</v>
      </c>
    </row>
    <row r="73" spans="4:5" x14ac:dyDescent="0.25">
      <c r="D73" vm="35">
        <f ca="1"/>
        <v>44160</v>
      </c>
      <c r="E73" vm="36">
        <f ca="1"/>
        <v>26.25</v>
      </c>
    </row>
    <row r="74" spans="4:5" x14ac:dyDescent="0.25">
      <c r="D74" vm="37">
        <f ca="1"/>
        <v>44161</v>
      </c>
      <c r="E74" vm="38">
        <f ca="1"/>
        <v>25.82</v>
      </c>
    </row>
    <row r="75" spans="4:5" x14ac:dyDescent="0.25">
      <c r="D75" vm="39">
        <f ca="1"/>
        <v>44162</v>
      </c>
      <c r="E75" vm="40">
        <f ca="1"/>
        <v>25.5</v>
      </c>
    </row>
    <row r="76" spans="4:5" x14ac:dyDescent="0.25">
      <c r="D76" vm="41">
        <f ca="1"/>
        <v>44165</v>
      </c>
      <c r="E76" vm="42">
        <f ca="1"/>
        <v>24.9</v>
      </c>
    </row>
    <row r="88" spans="2:15" x14ac:dyDescent="0.25">
      <c r="B88" s="11" t="s">
        <v>12</v>
      </c>
      <c r="C88" s="12" t="s">
        <v>13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2:15" x14ac:dyDescent="0.25">
      <c r="B89" s="9" t="s">
        <v>14</v>
      </c>
      <c r="C89" s="10" t="s">
        <v>20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2:15" x14ac:dyDescent="0.25">
      <c r="B90" s="9" t="s">
        <v>15</v>
      </c>
      <c r="C90" s="10" t="s">
        <v>34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2:15" x14ac:dyDescent="0.25">
      <c r="B91" s="13" t="s">
        <v>16</v>
      </c>
      <c r="C91" s="14" t="s">
        <v>21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2:15" x14ac:dyDescent="0.25">
      <c r="B92" s="13" t="s">
        <v>17</v>
      </c>
      <c r="C92" s="14" t="s">
        <v>22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2:15" x14ac:dyDescent="0.25">
      <c r="B93" s="13" t="s">
        <v>18</v>
      </c>
      <c r="C93" s="14" t="s">
        <v>35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spans="2:15" x14ac:dyDescent="0.25">
      <c r="B94" s="13" t="s">
        <v>19</v>
      </c>
      <c r="C94" s="14" t="s">
        <v>23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2:15" x14ac:dyDescent="0.25">
      <c r="B95" s="13" t="s">
        <v>24</v>
      </c>
      <c r="C95" s="14" t="s">
        <v>25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spans="2:15" x14ac:dyDescent="0.25">
      <c r="B96" s="13" t="s">
        <v>26</v>
      </c>
      <c r="C96" s="14" t="s">
        <v>30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spans="2:15" x14ac:dyDescent="0.25">
      <c r="B97" s="13" t="s">
        <v>27</v>
      </c>
      <c r="C97" s="14" t="s">
        <v>31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spans="2:15" x14ac:dyDescent="0.25">
      <c r="B98" s="13" t="s">
        <v>28</v>
      </c>
      <c r="C98" s="14" t="s">
        <v>32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spans="2:15" x14ac:dyDescent="0.25">
      <c r="B99" s="13" t="s">
        <v>29</v>
      </c>
      <c r="C99" s="14" t="s">
        <v>33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</sheetData>
  <mergeCells count="12">
    <mergeCell ref="C94:O94"/>
    <mergeCell ref="C95:O95"/>
    <mergeCell ref="C96:O96"/>
    <mergeCell ref="C97:O97"/>
    <mergeCell ref="C98:O98"/>
    <mergeCell ref="C99:O99"/>
    <mergeCell ref="C88:O88"/>
    <mergeCell ref="C89:O89"/>
    <mergeCell ref="C90:O90"/>
    <mergeCell ref="C91:O91"/>
    <mergeCell ref="C92:O92"/>
    <mergeCell ref="C93:O9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C4B2-29A1-457A-BC1E-21A7B053BD25}">
  <dimension ref="A1:F27"/>
  <sheetViews>
    <sheetView showGridLines="0" zoomScaleNormal="100" workbookViewId="0">
      <pane ySplit="2" topLeftCell="A3" activePane="bottomLeft" state="frozen"/>
      <selection pane="bottomLeft" activeCell="C5" sqref="C5"/>
    </sheetView>
  </sheetViews>
  <sheetFormatPr defaultRowHeight="15" x14ac:dyDescent="0.25"/>
  <cols>
    <col min="1" max="1" width="4.85546875" customWidth="1"/>
    <col min="2" max="2" width="20.140625" customWidth="1"/>
    <col min="3" max="3" width="15.85546875" customWidth="1"/>
    <col min="5" max="5" width="13.5703125" customWidth="1"/>
    <col min="6" max="6" width="12.5703125" bestFit="1" customWidth="1"/>
  </cols>
  <sheetData>
    <row r="1" spans="1:6" s="2" customFormat="1" ht="52.5" customHeight="1" x14ac:dyDescent="0.5">
      <c r="A1" s="1" t="s">
        <v>0</v>
      </c>
    </row>
    <row r="2" spans="1:6" s="2" customFormat="1" ht="16.5" customHeight="1" x14ac:dyDescent="0.3">
      <c r="A2" s="3" t="s">
        <v>7</v>
      </c>
    </row>
    <row r="5" spans="1:6" x14ac:dyDescent="0.25">
      <c r="B5" s="6" t="s">
        <v>1</v>
      </c>
      <c r="C5" s="4" t="s">
        <v>3</v>
      </c>
      <c r="E5" t="str" cm="1">
        <f t="array" aca="1" ref="E5:F27" ca="1">_xlfn.STOCKHISTORY(C5,C6,C7)</f>
        <v>Data</v>
      </c>
      <c r="F5" t="str">
        <f ca="1"/>
        <v>Fechamento</v>
      </c>
    </row>
    <row r="6" spans="1:6" x14ac:dyDescent="0.25">
      <c r="B6" s="6" t="s">
        <v>5</v>
      </c>
      <c r="C6" s="5">
        <v>43831</v>
      </c>
      <c r="E6" vm="43">
        <f ca="1"/>
        <v>43832</v>
      </c>
      <c r="F6" vm="44">
        <f ca="1"/>
        <v>54.33</v>
      </c>
    </row>
    <row r="7" spans="1:6" x14ac:dyDescent="0.25">
      <c r="B7" s="6" t="s">
        <v>6</v>
      </c>
      <c r="C7" s="5">
        <v>43861</v>
      </c>
      <c r="E7" vm="45">
        <f ca="1"/>
        <v>43833</v>
      </c>
      <c r="F7" vm="46">
        <f ca="1"/>
        <v>53.93</v>
      </c>
    </row>
    <row r="8" spans="1:6" x14ac:dyDescent="0.25">
      <c r="E8" vm="47">
        <f ca="1"/>
        <v>43836</v>
      </c>
      <c r="F8" vm="48">
        <f ca="1"/>
        <v>53.61</v>
      </c>
    </row>
    <row r="9" spans="1:6" x14ac:dyDescent="0.25">
      <c r="E9" vm="49">
        <f ca="1"/>
        <v>43837</v>
      </c>
      <c r="F9" vm="50">
        <f ca="1"/>
        <v>54</v>
      </c>
    </row>
    <row r="10" spans="1:6" x14ac:dyDescent="0.25">
      <c r="E10" vm="51">
        <f ca="1"/>
        <v>43838</v>
      </c>
      <c r="F10" vm="52">
        <f ca="1"/>
        <v>54.01</v>
      </c>
    </row>
    <row r="11" spans="1:6" x14ac:dyDescent="0.25">
      <c r="E11" vm="53">
        <f ca="1"/>
        <v>43839</v>
      </c>
      <c r="F11" vm="54">
        <f ca="1"/>
        <v>53.3</v>
      </c>
    </row>
    <row r="12" spans="1:6" x14ac:dyDescent="0.25">
      <c r="B12" s="8" t="s">
        <v>9</v>
      </c>
      <c r="E12" vm="55">
        <f ca="1"/>
        <v>43840</v>
      </c>
      <c r="F12" vm="56">
        <f ca="1"/>
        <v>53.36</v>
      </c>
    </row>
    <row r="13" spans="1:6" x14ac:dyDescent="0.25">
      <c r="B13" s="7" t="s">
        <v>3</v>
      </c>
      <c r="E13" vm="57">
        <f ca="1"/>
        <v>43843</v>
      </c>
      <c r="F13" vm="58">
        <f ca="1"/>
        <v>55.3</v>
      </c>
    </row>
    <row r="14" spans="1:6" x14ac:dyDescent="0.25">
      <c r="B14" s="7" t="s">
        <v>4</v>
      </c>
      <c r="E14" vm="59">
        <f ca="1"/>
        <v>43844</v>
      </c>
      <c r="F14" vm="60">
        <f ca="1"/>
        <v>55.64</v>
      </c>
    </row>
    <row r="15" spans="1:6" x14ac:dyDescent="0.25">
      <c r="B15" s="7" t="s">
        <v>10</v>
      </c>
      <c r="E15" vm="61">
        <f ca="1"/>
        <v>43845</v>
      </c>
      <c r="F15" vm="62">
        <f ca="1"/>
        <v>55.46</v>
      </c>
    </row>
    <row r="16" spans="1:6" x14ac:dyDescent="0.25">
      <c r="B16" s="7" t="s">
        <v>11</v>
      </c>
      <c r="E16" vm="63">
        <f ca="1"/>
        <v>43846</v>
      </c>
      <c r="F16" vm="64">
        <f ca="1"/>
        <v>55.17</v>
      </c>
    </row>
    <row r="17" spans="2:6" x14ac:dyDescent="0.25">
      <c r="E17" vm="65">
        <f ca="1"/>
        <v>43847</v>
      </c>
      <c r="F17" vm="66">
        <f ca="1"/>
        <v>57</v>
      </c>
    </row>
    <row r="18" spans="2:6" x14ac:dyDescent="0.25">
      <c r="E18" vm="67">
        <f ca="1"/>
        <v>43850</v>
      </c>
      <c r="F18" vm="68">
        <f ca="1"/>
        <v>57.36</v>
      </c>
    </row>
    <row r="19" spans="2:6" x14ac:dyDescent="0.25">
      <c r="B19" t="str">
        <f>"Fechamento da ação " &amp; C5</f>
        <v>Fechamento da ação VALE3</v>
      </c>
      <c r="E19" vm="69">
        <f ca="1"/>
        <v>43851</v>
      </c>
      <c r="F19" vm="70">
        <f ca="1"/>
        <v>56.03</v>
      </c>
    </row>
    <row r="20" spans="2:6" x14ac:dyDescent="0.25">
      <c r="E20" vm="71">
        <f ca="1"/>
        <v>43852</v>
      </c>
      <c r="F20" vm="72">
        <f ca="1"/>
        <v>56.3</v>
      </c>
    </row>
    <row r="21" spans="2:6" x14ac:dyDescent="0.25">
      <c r="E21" vm="73">
        <f ca="1"/>
        <v>43853</v>
      </c>
      <c r="F21" vm="74">
        <f ca="1"/>
        <v>55.5</v>
      </c>
    </row>
    <row r="22" spans="2:6" x14ac:dyDescent="0.25">
      <c r="E22" vm="75">
        <f ca="1"/>
        <v>43854</v>
      </c>
      <c r="F22" vm="76">
        <f ca="1"/>
        <v>53.8</v>
      </c>
    </row>
    <row r="23" spans="2:6" x14ac:dyDescent="0.25">
      <c r="E23" vm="77">
        <f ca="1"/>
        <v>43857</v>
      </c>
      <c r="F23" vm="78">
        <f ca="1"/>
        <v>50.51</v>
      </c>
    </row>
    <row r="24" spans="2:6" x14ac:dyDescent="0.25">
      <c r="E24" vm="79">
        <f ca="1"/>
        <v>43858</v>
      </c>
      <c r="F24" vm="80">
        <f ca="1"/>
        <v>51.2</v>
      </c>
    </row>
    <row r="25" spans="2:6" x14ac:dyDescent="0.25">
      <c r="E25" vm="81">
        <f ca="1"/>
        <v>43859</v>
      </c>
      <c r="F25" vm="82">
        <f ca="1"/>
        <v>50.75</v>
      </c>
    </row>
    <row r="26" spans="2:6" x14ac:dyDescent="0.25">
      <c r="E26" vm="83">
        <f ca="1"/>
        <v>43860</v>
      </c>
      <c r="F26" vm="84">
        <f ca="1"/>
        <v>51.5</v>
      </c>
    </row>
    <row r="27" spans="2:6" x14ac:dyDescent="0.25">
      <c r="E27" vm="85">
        <f ca="1"/>
        <v>43861</v>
      </c>
      <c r="F27" vm="86">
        <f ca="1"/>
        <v>50.27</v>
      </c>
    </row>
  </sheetData>
  <dataValidations count="1">
    <dataValidation type="list" allowBlank="1" showInputMessage="1" showErrorMessage="1" sqref="C5" xr:uid="{19A2F48B-B488-4B75-9F45-8F6D609B2D0E}">
      <formula1>$B$13:$B$16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5970-8139-4DE2-B3D0-898AE6EBAF54}">
  <dimension ref="A1:C19"/>
  <sheetViews>
    <sheetView showGridLines="0" zoomScaleNormal="100" workbookViewId="0">
      <pane ySplit="2" topLeftCell="A3" activePane="bottomLeft" state="frozen"/>
      <selection pane="bottomLeft" activeCell="C5" sqref="C5"/>
    </sheetView>
  </sheetViews>
  <sheetFormatPr defaultRowHeight="15" x14ac:dyDescent="0.25"/>
  <cols>
    <col min="1" max="1" width="3" customWidth="1"/>
    <col min="2" max="2" width="20.140625" customWidth="1"/>
    <col min="3" max="3" width="15.85546875" customWidth="1"/>
    <col min="5" max="5" width="12.7109375" customWidth="1"/>
    <col min="6" max="6" width="13.5703125" customWidth="1"/>
    <col min="7" max="7" width="12.5703125" bestFit="1" customWidth="1"/>
    <col min="8" max="10" width="11.42578125" customWidth="1"/>
  </cols>
  <sheetData>
    <row r="1" spans="1:3" s="2" customFormat="1" ht="52.5" customHeight="1" x14ac:dyDescent="0.5">
      <c r="A1" s="1" t="s">
        <v>0</v>
      </c>
    </row>
    <row r="2" spans="1:3" s="2" customFormat="1" ht="16.5" customHeight="1" x14ac:dyDescent="0.3">
      <c r="A2" s="3" t="s">
        <v>7</v>
      </c>
    </row>
    <row r="5" spans="1:3" x14ac:dyDescent="0.25">
      <c r="B5" s="6" t="s">
        <v>1</v>
      </c>
      <c r="C5" s="4" t="s">
        <v>3</v>
      </c>
    </row>
    <row r="6" spans="1:3" x14ac:dyDescent="0.25">
      <c r="B6" s="6" t="s">
        <v>5</v>
      </c>
      <c r="C6" s="5">
        <v>43983</v>
      </c>
    </row>
    <row r="7" spans="1:3" x14ac:dyDescent="0.25">
      <c r="B7" s="6" t="s">
        <v>6</v>
      </c>
      <c r="C7" s="5">
        <v>44012</v>
      </c>
    </row>
    <row r="12" spans="1:3" x14ac:dyDescent="0.25">
      <c r="B12" s="6" t="s">
        <v>9</v>
      </c>
    </row>
    <row r="13" spans="1:3" x14ac:dyDescent="0.25">
      <c r="B13" s="7" t="s">
        <v>3</v>
      </c>
    </row>
    <row r="14" spans="1:3" x14ac:dyDescent="0.25">
      <c r="B14" s="7" t="s">
        <v>4</v>
      </c>
    </row>
    <row r="15" spans="1:3" x14ac:dyDescent="0.25">
      <c r="B15" s="7" t="s">
        <v>10</v>
      </c>
    </row>
    <row r="16" spans="1:3" x14ac:dyDescent="0.25">
      <c r="B16" s="7" t="s">
        <v>11</v>
      </c>
    </row>
    <row r="19" spans="2:2" x14ac:dyDescent="0.25">
      <c r="B19" t="str">
        <f>"Preço de fechamento para a ação " &amp; C5</f>
        <v>Preço de fechamento para a ação VALE3</v>
      </c>
    </row>
  </sheetData>
  <dataValidations count="1">
    <dataValidation type="list" allowBlank="1" showInputMessage="1" showErrorMessage="1" sqref="C5" xr:uid="{E478FB5F-B357-4BC1-8798-15E37BA19665}">
      <formula1>$B$13:$B$16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Explicação</vt:lpstr>
      <vt:lpstr>Gabarito</vt:lpstr>
      <vt:lpstr>Do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Cavalcanti</dc:creator>
  <cp:lastModifiedBy>Marcus Vinicius Cavalcanti de Jesus</cp:lastModifiedBy>
  <dcterms:created xsi:type="dcterms:W3CDTF">2021-01-09T02:48:42Z</dcterms:created>
  <dcterms:modified xsi:type="dcterms:W3CDTF">2021-02-19T14:15:42Z</dcterms:modified>
</cp:coreProperties>
</file>