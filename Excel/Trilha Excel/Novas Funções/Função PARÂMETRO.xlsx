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hnny\Downloads\"/>
    </mc:Choice>
  </mc:AlternateContent>
  <bookViews>
    <workbookView xWindow="0" yWindow="0" windowWidth="20490" windowHeight="8340" tabRatio="629"/>
  </bookViews>
  <sheets>
    <sheet name="SES" sheetId="2" r:id="rId1"/>
    <sheet name="CONCAT (2)" sheetId="4" r:id="rId2"/>
    <sheet name="CONCAT" sheetId="5" r:id="rId3"/>
    <sheet name="PARÂMETRO" sheetId="6" r:id="rId4"/>
    <sheet name="UNIRTEXTO" sheetId="3" r:id="rId5"/>
    <sheet name="MÁXIMO-MÍNIMO.SES" sheetId="7" r:id="rId6"/>
  </sheets>
  <calcPr calcId="171026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3" l="1"/>
  <c r="I11" i="3"/>
  <c r="I10" i="3"/>
  <c r="I9" i="3"/>
  <c r="I8" i="3"/>
  <c r="I7" i="3"/>
  <c r="I6" i="3"/>
  <c r="I5" i="3"/>
  <c r="I4" i="3"/>
  <c r="I3" i="3"/>
  <c r="G12" i="3"/>
  <c r="G11" i="3"/>
  <c r="G10" i="3"/>
  <c r="G9" i="3"/>
  <c r="G8" i="3"/>
  <c r="G7" i="3"/>
  <c r="G6" i="3"/>
  <c r="G5" i="3"/>
  <c r="G4" i="3"/>
  <c r="G3" i="3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E19" i="2"/>
  <c r="J7" i="7"/>
  <c r="J6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3" i="6"/>
  <c r="G3" i="7"/>
  <c r="G4" i="7"/>
  <c r="G10" i="7"/>
  <c r="G12" i="7"/>
  <c r="G5" i="7"/>
  <c r="G6" i="7"/>
  <c r="G7" i="7"/>
  <c r="G8" i="7"/>
  <c r="G9" i="7"/>
  <c r="G11" i="7"/>
  <c r="G13" i="7"/>
  <c r="G14" i="7"/>
  <c r="G15" i="7"/>
  <c r="G16" i="7"/>
  <c r="G17" i="7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3" i="6"/>
  <c r="N3" i="4"/>
  <c r="N4" i="4"/>
</calcChain>
</file>

<file path=xl/sharedStrings.xml><?xml version="1.0" encoding="utf-8"?>
<sst xmlns="http://schemas.openxmlformats.org/spreadsheetml/2006/main" count="137" uniqueCount="76">
  <si>
    <t>CONCAT</t>
  </si>
  <si>
    <t>MÉDIA</t>
  </si>
  <si>
    <t>PF</t>
  </si>
  <si>
    <t>ALUNO</t>
  </si>
  <si>
    <t>NOTA</t>
  </si>
  <si>
    <t>SITUAÇÃO</t>
  </si>
  <si>
    <t>JOÃO</t>
  </si>
  <si>
    <t>Rua</t>
  </si>
  <si>
    <t>Número</t>
  </si>
  <si>
    <t>Bairro</t>
  </si>
  <si>
    <t>Cidade</t>
  </si>
  <si>
    <t>Rua Santa Clara</t>
  </si>
  <si>
    <t>Copacabana</t>
  </si>
  <si>
    <t>Rua Sambaíba</t>
  </si>
  <si>
    <t>Leblon</t>
  </si>
  <si>
    <t>Rio de Janeiro</t>
  </si>
  <si>
    <t>Praia do Flamengo</t>
  </si>
  <si>
    <t>Catete</t>
  </si>
  <si>
    <t>Rua Humaitá</t>
  </si>
  <si>
    <t>Humaitá</t>
  </si>
  <si>
    <t>Avenida Rio Branco</t>
  </si>
  <si>
    <t>Centro</t>
  </si>
  <si>
    <t>Rua Campos Sales</t>
  </si>
  <si>
    <t>Tijuca</t>
  </si>
  <si>
    <t>Rua do Ouvidor</t>
  </si>
  <si>
    <t>Rua Ibituruna</t>
  </si>
  <si>
    <t>Maracanã</t>
  </si>
  <si>
    <t>Avenida das Américas</t>
  </si>
  <si>
    <t>Barra da Tijuca</t>
  </si>
  <si>
    <t>Rua Jardim Botânico</t>
  </si>
  <si>
    <t>Jardim Botânico</t>
  </si>
  <si>
    <t>Endereço (CONCATENAR)</t>
  </si>
  <si>
    <t>Endereço (UNIRTEXTO)</t>
  </si>
  <si>
    <t xml:space="preserve">A </t>
  </si>
  <si>
    <t>Janeiro!</t>
  </si>
  <si>
    <t xml:space="preserve">Hashtag </t>
  </si>
  <si>
    <t xml:space="preserve">é </t>
  </si>
  <si>
    <t xml:space="preserve">a </t>
  </si>
  <si>
    <t xml:space="preserve">melhor </t>
  </si>
  <si>
    <t xml:space="preserve">escola </t>
  </si>
  <si>
    <t xml:space="preserve">de </t>
  </si>
  <si>
    <t xml:space="preserve">Excel </t>
  </si>
  <si>
    <t xml:space="preserve">do </t>
  </si>
  <si>
    <t xml:space="preserve">Rio </t>
  </si>
  <si>
    <t>CONCATENAR</t>
  </si>
  <si>
    <t>Data da Emissão</t>
  </si>
  <si>
    <t>Data de Validade</t>
  </si>
  <si>
    <t>Valor</t>
  </si>
  <si>
    <t>Código</t>
  </si>
  <si>
    <t>CPF</t>
  </si>
  <si>
    <t>Vendedor</t>
  </si>
  <si>
    <t>Idade</t>
  </si>
  <si>
    <t>Lucas</t>
  </si>
  <si>
    <t>Ramiro</t>
  </si>
  <si>
    <t>Antônio</t>
  </si>
  <si>
    <t>Alfredo</t>
  </si>
  <si>
    <t>Brito</t>
  </si>
  <si>
    <t>Rodolpho</t>
  </si>
  <si>
    <t>Luan</t>
  </si>
  <si>
    <t>Ana Claudia</t>
  </si>
  <si>
    <t>Ana Maria</t>
  </si>
  <si>
    <t>Miranda</t>
  </si>
  <si>
    <t>Rafaela</t>
  </si>
  <si>
    <t>Jussimara</t>
  </si>
  <si>
    <t>Leandro</t>
  </si>
  <si>
    <t>Andeia</t>
  </si>
  <si>
    <t>Solimar</t>
  </si>
  <si>
    <t>Estado</t>
  </si>
  <si>
    <t>RJ</t>
  </si>
  <si>
    <t>MG</t>
  </si>
  <si>
    <t>SP</t>
  </si>
  <si>
    <t>Comissão %</t>
  </si>
  <si>
    <t>Comissão $</t>
  </si>
  <si>
    <t>Estado:</t>
  </si>
  <si>
    <t>Máximo:</t>
  </si>
  <si>
    <t>Mínimo: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</si>
</sst>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"/>
    <numFmt numFmtId="166" formatCode="000"/>
    <numFmt numFmtId="167" formatCode="_-[$R$-416]* #,##0.00_-;\-[$R$-416]* #,##0.00_-;_-[$R$-416]* &quot;-&quot;??_-;_-@_-"/>
    <numFmt numFmtId="168" formatCode="_-&quot;R$&quot;* #,##0_-;\-&quot;R$&quot;* #,##0_-;_-&quot;R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A3E1"/>
        <bgColor indexed="64"/>
      </patternFill>
    </fill>
    <fill>
      <patternFill patternType="solid">
        <fgColor rgb="FF6F339C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4" fillId="4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5" borderId="0" xfId="0" applyFill="1"/>
    <xf numFmtId="0" fontId="3" fillId="6" borderId="1" xfId="0" applyFont="1" applyFill="1" applyBorder="1" applyAlignment="1">
      <alignment horizontal="center"/>
    </xf>
    <xf numFmtId="0" fontId="1" fillId="5" borderId="0" xfId="0" applyFont="1" applyFill="1"/>
    <xf numFmtId="166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7" fontId="0" fillId="5" borderId="1" xfId="1" applyNumberFormat="1" applyFont="1" applyFill="1" applyBorder="1"/>
    <xf numFmtId="167" fontId="0" fillId="5" borderId="0" xfId="0" applyNumberFormat="1" applyFill="1"/>
    <xf numFmtId="0" fontId="3" fillId="7" borderId="1" xfId="0" applyFont="1" applyFill="1" applyBorder="1" applyAlignment="1">
      <alignment horizontal="center"/>
    </xf>
    <xf numFmtId="0" fontId="0" fillId="8" borderId="0" xfId="0" applyFill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8" fontId="0" fillId="8" borderId="1" xfId="2" applyNumberFormat="1" applyFont="1" applyFill="1" applyBorder="1"/>
    <xf numFmtId="0" fontId="0" fillId="9" borderId="0" xfId="0" applyFill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8" fontId="0" fillId="9" borderId="1" xfId="2" applyNumberFormat="1" applyFont="1" applyFill="1" applyBorder="1"/>
    <xf numFmtId="9" fontId="0" fillId="9" borderId="1" xfId="2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9" fontId="1" fillId="8" borderId="1" xfId="2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168" fontId="1" fillId="9" borderId="1" xfId="2" applyNumberFormat="1" applyFont="1" applyFill="1" applyBorder="1"/>
    <xf numFmtId="0" fontId="3" fillId="11" borderId="1" xfId="0" applyFont="1" applyFill="1" applyBorder="1" applyAlignment="1">
      <alignment horizontal="center"/>
    </xf>
    <xf numFmtId="166" fontId="0" fillId="12" borderId="1" xfId="0" applyNumberFormat="1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0</xdr:row>
      <xdr:rowOff>19049</xdr:rowOff>
    </xdr:from>
    <xdr:to>
      <xdr:col>1</xdr:col>
      <xdr:colOff>590550</xdr:colOff>
      <xdr:row>10</xdr:row>
      <xdr:rowOff>94049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CxnSpPr/>
      </xdr:nvCxnSpPr>
      <xdr:spPr>
        <a:xfrm>
          <a:off x="1200150" y="19049"/>
          <a:ext cx="0" cy="19800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567690</xdr:colOff>
      <xdr:row>0</xdr:row>
      <xdr:rowOff>25650</xdr:rowOff>
    </xdr:from>
    <xdr:to>
      <xdr:col>7</xdr:col>
      <xdr:colOff>567690</xdr:colOff>
      <xdr:row>10</xdr:row>
      <xdr:rowOff>100650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CxnSpPr/>
      </xdr:nvCxnSpPr>
      <xdr:spPr>
        <a:xfrm>
          <a:off x="4834890" y="25650"/>
          <a:ext cx="0" cy="19800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556260</xdr:colOff>
      <xdr:row>0</xdr:row>
      <xdr:rowOff>25650</xdr:rowOff>
    </xdr:from>
    <xdr:to>
      <xdr:col>10</xdr:col>
      <xdr:colOff>556260</xdr:colOff>
      <xdr:row>10</xdr:row>
      <xdr:rowOff>100650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CxnSpPr/>
      </xdr:nvCxnSpPr>
      <xdr:spPr>
        <a:xfrm>
          <a:off x="6652260" y="25650"/>
          <a:ext cx="0" cy="19800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0</xdr:row>
      <xdr:rowOff>25650</xdr:rowOff>
    </xdr:from>
    <xdr:to>
      <xdr:col>16</xdr:col>
      <xdr:colOff>533400</xdr:colOff>
      <xdr:row>10</xdr:row>
      <xdr:rowOff>100650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CxnSpPr/>
      </xdr:nvCxnSpPr>
      <xdr:spPr>
        <a:xfrm>
          <a:off x="10287000" y="25650"/>
          <a:ext cx="0" cy="19800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2</xdr:row>
      <xdr:rowOff>178050</xdr:rowOff>
    </xdr:from>
    <xdr:to>
      <xdr:col>17</xdr:col>
      <xdr:colOff>590550</xdr:colOff>
      <xdr:row>2</xdr:row>
      <xdr:rowOff>178050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CxnSpPr/>
      </xdr:nvCxnSpPr>
      <xdr:spPr>
        <a:xfrm>
          <a:off x="533400" y="559050"/>
          <a:ext cx="1042035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10</xdr:row>
      <xdr:rowOff>80962</xdr:rowOff>
    </xdr:from>
    <xdr:to>
      <xdr:col>7</xdr:col>
      <xdr:colOff>323850</xdr:colOff>
      <xdr:row>10</xdr:row>
      <xdr:rowOff>80962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CxnSpPr/>
      </xdr:nvCxnSpPr>
      <xdr:spPr>
        <a:xfrm>
          <a:off x="1438275" y="1985962"/>
          <a:ext cx="3152775" cy="0"/>
        </a:xfrm>
        <a:prstGeom prst="straightConnector1">
          <a:avLst/>
        </a:prstGeom>
        <a:ln w="44450">
          <a:solidFill>
            <a:schemeClr val="bg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209550</xdr:colOff>
      <xdr:row>0</xdr:row>
      <xdr:rowOff>178050</xdr:rowOff>
    </xdr:from>
    <xdr:to>
      <xdr:col>2</xdr:col>
      <xdr:colOff>361950</xdr:colOff>
      <xdr:row>4</xdr:row>
      <xdr:rowOff>178050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819150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0</a:t>
          </a:r>
        </a:p>
      </xdr:txBody>
    </xdr:sp>
    <xdr:clientData/>
  </xdr:twoCellAnchor>
  <xdr:twoCellAnchor>
    <xdr:from>
      <xdr:col>2</xdr:col>
      <xdr:colOff>508635</xdr:colOff>
      <xdr:row>0</xdr:row>
      <xdr:rowOff>178050</xdr:rowOff>
    </xdr:from>
    <xdr:to>
      <xdr:col>4</xdr:col>
      <xdr:colOff>51435</xdr:colOff>
      <xdr:row>4</xdr:row>
      <xdr:rowOff>178050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1727835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4</xdr:col>
      <xdr:colOff>198120</xdr:colOff>
      <xdr:row>0</xdr:row>
      <xdr:rowOff>178050</xdr:rowOff>
    </xdr:from>
    <xdr:to>
      <xdr:col>5</xdr:col>
      <xdr:colOff>350520</xdr:colOff>
      <xdr:row>4</xdr:row>
      <xdr:rowOff>178050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636520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5</xdr:col>
      <xdr:colOff>497205</xdr:colOff>
      <xdr:row>0</xdr:row>
      <xdr:rowOff>178050</xdr:rowOff>
    </xdr:from>
    <xdr:to>
      <xdr:col>7</xdr:col>
      <xdr:colOff>40005</xdr:colOff>
      <xdr:row>4</xdr:row>
      <xdr:rowOff>178050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3545205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7</xdr:col>
      <xdr:colOff>186690</xdr:colOff>
      <xdr:row>0</xdr:row>
      <xdr:rowOff>178050</xdr:rowOff>
    </xdr:from>
    <xdr:to>
      <xdr:col>8</xdr:col>
      <xdr:colOff>339090</xdr:colOff>
      <xdr:row>4</xdr:row>
      <xdr:rowOff>178050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4453890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8</xdr:col>
      <xdr:colOff>485775</xdr:colOff>
      <xdr:row>0</xdr:row>
      <xdr:rowOff>178050</xdr:rowOff>
    </xdr:from>
    <xdr:to>
      <xdr:col>10</xdr:col>
      <xdr:colOff>28575</xdr:colOff>
      <xdr:row>4</xdr:row>
      <xdr:rowOff>178050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5362575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10</xdr:col>
      <xdr:colOff>175260</xdr:colOff>
      <xdr:row>0</xdr:row>
      <xdr:rowOff>178050</xdr:rowOff>
    </xdr:from>
    <xdr:to>
      <xdr:col>11</xdr:col>
      <xdr:colOff>327660</xdr:colOff>
      <xdr:row>4</xdr:row>
      <xdr:rowOff>178050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271260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11</xdr:col>
      <xdr:colOff>474345</xdr:colOff>
      <xdr:row>0</xdr:row>
      <xdr:rowOff>178050</xdr:rowOff>
    </xdr:from>
    <xdr:to>
      <xdr:col>13</xdr:col>
      <xdr:colOff>17145</xdr:colOff>
      <xdr:row>4</xdr:row>
      <xdr:rowOff>178050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7179945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13</xdr:col>
      <xdr:colOff>163830</xdr:colOff>
      <xdr:row>0</xdr:row>
      <xdr:rowOff>178050</xdr:rowOff>
    </xdr:from>
    <xdr:to>
      <xdr:col>14</xdr:col>
      <xdr:colOff>316230</xdr:colOff>
      <xdr:row>4</xdr:row>
      <xdr:rowOff>178050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>
        <a:xfrm>
          <a:off x="8088630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14</xdr:col>
      <xdr:colOff>462915</xdr:colOff>
      <xdr:row>0</xdr:row>
      <xdr:rowOff>178050</xdr:rowOff>
    </xdr:from>
    <xdr:to>
      <xdr:col>16</xdr:col>
      <xdr:colOff>5715</xdr:colOff>
      <xdr:row>4</xdr:row>
      <xdr:rowOff>178050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>
        <a:xfrm>
          <a:off x="8997315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16</xdr:col>
      <xdr:colOff>152400</xdr:colOff>
      <xdr:row>0</xdr:row>
      <xdr:rowOff>178050</xdr:rowOff>
    </xdr:from>
    <xdr:to>
      <xdr:col>17</xdr:col>
      <xdr:colOff>304800</xdr:colOff>
      <xdr:row>4</xdr:row>
      <xdr:rowOff>178050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>
        <a:xfrm>
          <a:off x="9906000" y="178050"/>
          <a:ext cx="762000" cy="762000"/>
        </a:xfrm>
        <a:prstGeom prst="ellipse">
          <a:avLst/>
        </a:prstGeom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11</xdr:col>
      <xdr:colOff>190500</xdr:colOff>
      <xdr:row>10</xdr:row>
      <xdr:rowOff>80962</xdr:rowOff>
    </xdr:from>
    <xdr:to>
      <xdr:col>16</xdr:col>
      <xdr:colOff>295275</xdr:colOff>
      <xdr:row>10</xdr:row>
      <xdr:rowOff>80962</xdr:rowOff>
    </xdr:to>
    <xdr:cxnSp macro="">
      <xdr:nvCxnSpPr>
        <xdr:cNvPr id="44" name="Conector de Seta Reta 43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CxnSpPr/>
      </xdr:nvCxnSpPr>
      <xdr:spPr>
        <a:xfrm>
          <a:off x="6896100" y="1985962"/>
          <a:ext cx="3152775" cy="0"/>
        </a:xfrm>
        <a:prstGeom prst="straightConnector1">
          <a:avLst/>
        </a:prstGeom>
        <a:ln w="44450">
          <a:solidFill>
            <a:schemeClr val="bg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128587</xdr:colOff>
      <xdr:row>10</xdr:row>
      <xdr:rowOff>80962</xdr:rowOff>
    </xdr:from>
    <xdr:to>
      <xdr:col>10</xdr:col>
      <xdr:colOff>385762</xdr:colOff>
      <xdr:row>10</xdr:row>
      <xdr:rowOff>80962</xdr:rowOff>
    </xdr:to>
    <xdr:cxnSp macro="">
      <xdr:nvCxnSpPr>
        <xdr:cNvPr id="45" name="Conector de Seta Reta 44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CxnSpPr/>
      </xdr:nvCxnSpPr>
      <xdr:spPr>
        <a:xfrm>
          <a:off x="5005387" y="1985962"/>
          <a:ext cx="1476375" cy="0"/>
        </a:xfrm>
        <a:prstGeom prst="straightConnector1">
          <a:avLst/>
        </a:prstGeom>
        <a:ln w="44450">
          <a:solidFill>
            <a:schemeClr val="bg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91830</xdr:colOff>
      <xdr:row>6</xdr:row>
      <xdr:rowOff>95250</xdr:rowOff>
    </xdr:from>
    <xdr:ext cx="968864" cy="467757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 txBox="1"/>
      </xdr:nvSpPr>
      <xdr:spPr>
        <a:xfrm>
          <a:off x="2530230" y="1238250"/>
          <a:ext cx="968864" cy="46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2400" b="0" i="1">
              <a:latin typeface="Impact" panose="020B0806030902050204" pitchFamily="34" charset="0"/>
            </a:rPr>
            <a:t>REP</a:t>
          </a:r>
        </a:p>
      </xdr:txBody>
    </xdr:sp>
    <xdr:clientData/>
  </xdr:oneCellAnchor>
  <xdr:oneCellAnchor>
    <xdr:from>
      <xdr:col>8</xdr:col>
      <xdr:colOff>541824</xdr:colOff>
      <xdr:row>6</xdr:row>
      <xdr:rowOff>66675</xdr:rowOff>
    </xdr:from>
    <xdr:ext cx="649901" cy="467757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 txBox="1"/>
      </xdr:nvSpPr>
      <xdr:spPr>
        <a:xfrm>
          <a:off x="5418624" y="1209675"/>
          <a:ext cx="649901" cy="46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2400" b="0" i="1">
              <a:latin typeface="Impact" panose="020B0806030902050204" pitchFamily="34" charset="0"/>
            </a:rPr>
            <a:t>PF</a:t>
          </a:r>
        </a:p>
      </xdr:txBody>
    </xdr:sp>
    <xdr:clientData/>
  </xdr:oneCellAnchor>
  <xdr:oneCellAnchor>
    <xdr:from>
      <xdr:col>12</xdr:col>
      <xdr:colOff>556217</xdr:colOff>
      <xdr:row>6</xdr:row>
      <xdr:rowOff>66675</xdr:rowOff>
    </xdr:from>
    <xdr:ext cx="1202141" cy="467757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 txBox="1"/>
      </xdr:nvSpPr>
      <xdr:spPr>
        <a:xfrm>
          <a:off x="7871417" y="1209675"/>
          <a:ext cx="1202141" cy="46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2400" b="0" i="1">
              <a:latin typeface="Impact" panose="020B0806030902050204" pitchFamily="34" charset="0"/>
            </a:rPr>
            <a:t>APR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431533</xdr:colOff>
      <xdr:row>0</xdr:row>
      <xdr:rowOff>123522</xdr:rowOff>
    </xdr:from>
    <xdr:to>
      <xdr:col>9</xdr:col>
      <xdr:colOff>605867</xdr:colOff>
      <xdr:row>7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xmlns="" id="{CB9160DA-6392-A240-8F33-A07980591E80}"/>
            </a:ext>
          </a:extLst>
        </xdr:cNvPr>
        <xdr:cNvSpPr txBox="1"/>
      </xdr:nvSpPr>
      <xdr:spPr>
        <a:xfrm>
          <a:off x="5070208" y="123522"/>
          <a:ext cx="1393534" cy="1295703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/>
        <a:lstStyle/>
        <a:p>
          <a:pPr algn="l"/>
          <a:r>
            <a:rPr lang="pt-BR"/>
            <a:t>Comissão do Vendedor por Estado:</a:t>
          </a:r>
        </a:p>
        <a:p>
          <a:pPr algn="l"/>
          <a:endParaRPr lang="pt-BR"/>
        </a:p>
        <a:p>
          <a:pPr algn="l"/>
          <a:r>
            <a:rPr lang="pt-BR"/>
            <a:t>RJ - 35%</a:t>
          </a:r>
        </a:p>
        <a:p>
          <a:pPr algn="l"/>
          <a:r>
            <a:rPr lang="pt-BR"/>
            <a:t>SP - 30%</a:t>
          </a:r>
        </a:p>
        <a:p>
          <a:pPr algn="l"/>
          <a:r>
            <a:rPr lang="pt-BR"/>
            <a:t>MG - 32%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F19"/>
  <sheetViews>
    <sheetView tabSelected="1" zoomScaleNormal="100" workbookViewId="0">
      <selection activeCell="E1" sqref="E1"/>
    </sheetView>
  </sheetViews>
  <sheetFormatPr defaultColWidth="9.140625" defaultRowHeight="15" x14ac:dyDescent="0.25"/>
  <cols>
    <col min="1" max="16384" width="9.140625" style="1"/>
  </cols>
  <sheetData>
    <row r="15" spans="3:4" x14ac:dyDescent="0.25">
      <c r="C15" s="2" t="s">
        <v>1</v>
      </c>
      <c r="D15" s="3">
        <v>6</v>
      </c>
    </row>
    <row r="16" spans="3:4" x14ac:dyDescent="0.25">
      <c r="C16" s="2" t="s">
        <v>2</v>
      </c>
      <c r="D16" s="3">
        <v>4</v>
      </c>
    </row>
    <row r="18" spans="3:6" x14ac:dyDescent="0.25">
      <c r="C18" s="33" t="s">
        <v>3</v>
      </c>
      <c r="D18" s="33" t="s">
        <v>4</v>
      </c>
      <c r="E18" s="37" t="s">
        <v>5</v>
      </c>
      <c r="F18" s="37"/>
    </row>
    <row r="19" spans="3:6" x14ac:dyDescent="0.25">
      <c r="C19" s="4" t="s">
        <v>6</v>
      </c>
      <c r="D19" s="5">
        <v>5.7</v>
      </c>
      <c r="E19" s="38" t="str">
        <f>_xlfn.IFS(D19&lt;4,"Reprovado",D19&lt;6,"PF",D19&gt;=6,"Aprovado")</f>
        <v>PF</v>
      </c>
      <c r="F19" s="39"/>
    </row>
  </sheetData>
  <mergeCells count="2">
    <mergeCell ref="E18:F18"/>
    <mergeCell ref="E19:F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9.140625" defaultRowHeight="15" x14ac:dyDescent="0.25"/>
  <cols>
    <col min="1" max="12" width="9.140625" style="10"/>
    <col min="13" max="13" width="13.42578125" style="10" bestFit="1" customWidth="1"/>
    <col min="14" max="14" width="51" style="10" bestFit="1" customWidth="1"/>
    <col min="15" max="16384" width="9.140625" style="10"/>
  </cols>
  <sheetData>
    <row r="1" spans="1:14" x14ac:dyDescent="0.25">
      <c r="A1" s="10" t="s">
        <v>33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40</v>
      </c>
      <c r="L1" s="10" t="s">
        <v>34</v>
      </c>
    </row>
    <row r="3" spans="1:14" x14ac:dyDescent="0.25">
      <c r="M3" s="11" t="s">
        <v>44</v>
      </c>
      <c r="N3" s="31" t="str">
        <f>CONCATENATE(A1,B1,C1,D1,E1,F1,G1,H1,I1,J1,K1,L1)</f>
        <v>A Hashtag é a melhor escola de Excel do Rio de Janeiro!</v>
      </c>
    </row>
    <row r="4" spans="1:14" x14ac:dyDescent="0.25">
      <c r="M4" s="11" t="s">
        <v>0</v>
      </c>
      <c r="N4" s="31" t="str">
        <f>_xlfn.CONCAT(A1:L1)</f>
        <v>A Hashtag é a melhor escola de Excel do Rio de Janeiro!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workbookViewId="0">
      <selection activeCell="G18" sqref="G3:G18"/>
    </sheetView>
  </sheetViews>
  <sheetFormatPr defaultColWidth="9.140625" defaultRowHeight="15" x14ac:dyDescent="0.25"/>
  <cols>
    <col min="1" max="1" width="2.85546875" style="10" customWidth="1"/>
    <col min="2" max="2" width="15" style="10" customWidth="1"/>
    <col min="3" max="4" width="16.28515625" style="10" customWidth="1"/>
    <col min="5" max="5" width="11.7109375" style="10" customWidth="1"/>
    <col min="6" max="6" width="10.140625" style="10" bestFit="1" customWidth="1"/>
    <col min="7" max="7" width="31" style="10" customWidth="1"/>
    <col min="8" max="11" width="9.140625" style="10"/>
    <col min="12" max="12" width="13.42578125" style="10" customWidth="1"/>
    <col min="13" max="13" width="51" style="10" customWidth="1"/>
    <col min="14" max="16384" width="9.140625" style="10"/>
  </cols>
  <sheetData>
    <row r="2" spans="2:7" x14ac:dyDescent="0.25">
      <c r="B2" s="11" t="s">
        <v>49</v>
      </c>
      <c r="C2" s="11" t="s">
        <v>45</v>
      </c>
      <c r="D2" s="11" t="s">
        <v>46</v>
      </c>
      <c r="E2" s="11" t="s">
        <v>47</v>
      </c>
      <c r="F2" s="12"/>
      <c r="G2" s="11" t="s">
        <v>48</v>
      </c>
    </row>
    <row r="3" spans="2:7" x14ac:dyDescent="0.25">
      <c r="B3" s="34">
        <v>78749655663</v>
      </c>
      <c r="C3" s="35">
        <v>42890</v>
      </c>
      <c r="D3" s="14">
        <v>42920</v>
      </c>
      <c r="E3" s="15">
        <v>104.47</v>
      </c>
      <c r="F3" s="16"/>
      <c r="G3" s="30" t="str">
        <f>_xlfn.CONCAT(B3:E3)</f>
        <v>787496556634289042920104,47</v>
      </c>
    </row>
    <row r="4" spans="2:7" x14ac:dyDescent="0.25">
      <c r="B4" s="13">
        <v>22052442219</v>
      </c>
      <c r="C4" s="35">
        <v>42890</v>
      </c>
      <c r="D4" s="14">
        <v>42922</v>
      </c>
      <c r="E4" s="15">
        <v>521.19000000000005</v>
      </c>
      <c r="F4" s="16"/>
      <c r="G4" s="30" t="str">
        <f t="shared" ref="G4:G18" si="0">_xlfn.CONCAT(B4:E4)</f>
        <v>220524422194289042922521,19</v>
      </c>
    </row>
    <row r="5" spans="2:7" x14ac:dyDescent="0.25">
      <c r="B5" s="13">
        <v>67125416462</v>
      </c>
      <c r="C5" s="35">
        <v>42890</v>
      </c>
      <c r="D5" s="14">
        <v>42928</v>
      </c>
      <c r="E5" s="15">
        <v>193.47</v>
      </c>
      <c r="F5" s="16"/>
      <c r="G5" s="30" t="str">
        <f t="shared" si="0"/>
        <v>671254164624289042928193,47</v>
      </c>
    </row>
    <row r="6" spans="2:7" x14ac:dyDescent="0.25">
      <c r="B6" s="13">
        <v>84034757566</v>
      </c>
      <c r="C6" s="35">
        <v>42890</v>
      </c>
      <c r="D6" s="14">
        <v>42931</v>
      </c>
      <c r="E6" s="15">
        <v>493.41</v>
      </c>
      <c r="F6" s="16"/>
      <c r="G6" s="30" t="str">
        <f t="shared" si="0"/>
        <v>840347575664289042931493,41</v>
      </c>
    </row>
    <row r="7" spans="2:7" x14ac:dyDescent="0.25">
      <c r="B7" s="13">
        <v>18613743307</v>
      </c>
      <c r="C7" s="36">
        <v>42902</v>
      </c>
      <c r="D7" s="14">
        <v>42932</v>
      </c>
      <c r="E7" s="15">
        <v>421.97</v>
      </c>
      <c r="F7" s="16"/>
      <c r="G7" s="30" t="str">
        <f t="shared" si="0"/>
        <v>186137433074290242932421,97</v>
      </c>
    </row>
    <row r="8" spans="2:7" x14ac:dyDescent="0.25">
      <c r="B8" s="13">
        <v>97143144614</v>
      </c>
      <c r="C8" s="36">
        <v>42902</v>
      </c>
      <c r="D8" s="14">
        <v>42933</v>
      </c>
      <c r="E8" s="15">
        <v>444.43</v>
      </c>
      <c r="F8" s="16"/>
      <c r="G8" s="30" t="str">
        <f t="shared" si="0"/>
        <v>971431446144290242933444,43</v>
      </c>
    </row>
    <row r="9" spans="2:7" x14ac:dyDescent="0.25">
      <c r="B9" s="13">
        <v>81264163860</v>
      </c>
      <c r="C9" s="36">
        <v>42902</v>
      </c>
      <c r="D9" s="14">
        <v>42941</v>
      </c>
      <c r="E9" s="15">
        <v>515.17999999999995</v>
      </c>
      <c r="F9" s="16"/>
      <c r="G9" s="30" t="str">
        <f t="shared" si="0"/>
        <v>812641638604290242941515,18</v>
      </c>
    </row>
    <row r="10" spans="2:7" x14ac:dyDescent="0.25">
      <c r="B10" s="13">
        <v>83118475170</v>
      </c>
      <c r="C10" s="14">
        <v>42911</v>
      </c>
      <c r="D10" s="14">
        <v>42941</v>
      </c>
      <c r="E10" s="15">
        <v>396.23</v>
      </c>
      <c r="F10" s="16"/>
      <c r="G10" s="30" t="str">
        <f t="shared" si="0"/>
        <v>831184751704291142941396,23</v>
      </c>
    </row>
    <row r="11" spans="2:7" x14ac:dyDescent="0.25">
      <c r="B11" s="13">
        <v>11697249736</v>
      </c>
      <c r="C11" s="14">
        <v>42914</v>
      </c>
      <c r="D11" s="14">
        <v>42944</v>
      </c>
      <c r="E11" s="15">
        <v>535.74</v>
      </c>
      <c r="F11" s="16"/>
      <c r="G11" s="30" t="str">
        <f t="shared" si="0"/>
        <v>116972497364291442944535,74</v>
      </c>
    </row>
    <row r="12" spans="2:7" x14ac:dyDescent="0.25">
      <c r="B12" s="13">
        <v>84241479286</v>
      </c>
      <c r="C12" s="14">
        <v>42915</v>
      </c>
      <c r="D12" s="14">
        <v>42945</v>
      </c>
      <c r="E12" s="15">
        <v>454.91</v>
      </c>
      <c r="F12" s="16"/>
      <c r="G12" s="30" t="str">
        <f t="shared" si="0"/>
        <v>842414792864291542945454,91</v>
      </c>
    </row>
    <row r="13" spans="2:7" x14ac:dyDescent="0.25">
      <c r="B13" s="13">
        <v>85676132728</v>
      </c>
      <c r="C13" s="14">
        <v>42915</v>
      </c>
      <c r="D13" s="14">
        <v>42945</v>
      </c>
      <c r="E13" s="15">
        <v>469.68</v>
      </c>
      <c r="F13" s="16"/>
      <c r="G13" s="30" t="str">
        <f t="shared" si="0"/>
        <v>856761327284291542945469,68</v>
      </c>
    </row>
    <row r="14" spans="2:7" x14ac:dyDescent="0.25">
      <c r="B14" s="13">
        <v>38857657302</v>
      </c>
      <c r="C14" s="14">
        <v>42916</v>
      </c>
      <c r="D14" s="14">
        <v>42946</v>
      </c>
      <c r="E14" s="15">
        <v>438.37</v>
      </c>
      <c r="F14" s="16"/>
      <c r="G14" s="30" t="str">
        <f t="shared" si="0"/>
        <v>388576573024291642946438,37</v>
      </c>
    </row>
    <row r="15" spans="2:7" x14ac:dyDescent="0.25">
      <c r="B15" s="13">
        <v>34743674557</v>
      </c>
      <c r="C15" s="14">
        <v>42922</v>
      </c>
      <c r="D15" s="14">
        <v>42952</v>
      </c>
      <c r="E15" s="15">
        <v>183.61</v>
      </c>
      <c r="F15" s="16"/>
      <c r="G15" s="30" t="str">
        <f t="shared" si="0"/>
        <v>347436745574292242952183,61</v>
      </c>
    </row>
    <row r="16" spans="2:7" x14ac:dyDescent="0.25">
      <c r="B16" s="13">
        <v>47643134138</v>
      </c>
      <c r="C16" s="14">
        <v>42924</v>
      </c>
      <c r="D16" s="14">
        <v>42954</v>
      </c>
      <c r="E16" s="15">
        <v>498.55</v>
      </c>
      <c r="F16" s="16"/>
      <c r="G16" s="30" t="str">
        <f t="shared" si="0"/>
        <v>476431341384292442954498,55</v>
      </c>
    </row>
    <row r="17" spans="2:7" x14ac:dyDescent="0.25">
      <c r="B17" s="13">
        <v>42668814367</v>
      </c>
      <c r="C17" s="14">
        <v>42927</v>
      </c>
      <c r="D17" s="14">
        <v>42957</v>
      </c>
      <c r="E17" s="15">
        <v>367.91</v>
      </c>
      <c r="F17" s="16"/>
      <c r="G17" s="30" t="str">
        <f t="shared" si="0"/>
        <v>426688143674292742957367,91</v>
      </c>
    </row>
    <row r="18" spans="2:7" x14ac:dyDescent="0.25">
      <c r="B18" s="34">
        <v>78749655663</v>
      </c>
      <c r="C18" s="14">
        <v>42931</v>
      </c>
      <c r="D18" s="14">
        <v>42961</v>
      </c>
      <c r="E18" s="15">
        <v>217.24</v>
      </c>
      <c r="F18" s="16"/>
      <c r="G18" s="30" t="str">
        <f t="shared" si="0"/>
        <v>787496556634293142961217,24</v>
      </c>
    </row>
  </sheetData>
  <sortState ref="B3:E18">
    <sortCondition ref="C3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workbookViewId="0">
      <selection activeCell="F3" sqref="F3"/>
    </sheetView>
  </sheetViews>
  <sheetFormatPr defaultColWidth="9.140625" defaultRowHeight="15" x14ac:dyDescent="0.25"/>
  <cols>
    <col min="1" max="1" width="2.85546875" style="18" customWidth="1"/>
    <col min="2" max="2" width="11.42578125" style="18" bestFit="1" customWidth="1"/>
    <col min="3" max="4" width="9.140625" style="18"/>
    <col min="5" max="5" width="13.85546875" style="18" bestFit="1" customWidth="1"/>
    <col min="6" max="7" width="11.5703125" style="18" bestFit="1" customWidth="1"/>
    <col min="8" max="16384" width="9.140625" style="18"/>
  </cols>
  <sheetData>
    <row r="2" spans="2:7" x14ac:dyDescent="0.25">
      <c r="B2" s="17" t="s">
        <v>50</v>
      </c>
      <c r="C2" s="17" t="s">
        <v>51</v>
      </c>
      <c r="D2" s="17" t="s">
        <v>67</v>
      </c>
      <c r="E2" s="17" t="s">
        <v>47</v>
      </c>
      <c r="F2" s="17" t="s">
        <v>71</v>
      </c>
      <c r="G2" s="17" t="s">
        <v>72</v>
      </c>
    </row>
    <row r="3" spans="2:7" x14ac:dyDescent="0.25">
      <c r="B3" s="19" t="s">
        <v>52</v>
      </c>
      <c r="C3" s="20">
        <v>27</v>
      </c>
      <c r="D3" s="20" t="s">
        <v>68</v>
      </c>
      <c r="E3" s="21">
        <v>117393</v>
      </c>
      <c r="F3" s="28">
        <f>_xlfn.SWITCH(D3,"RJ",35%,"SP",30%,"MG",32%)</f>
        <v>0.35</v>
      </c>
      <c r="G3" s="21">
        <f>E3*F3</f>
        <v>41087.549999999996</v>
      </c>
    </row>
    <row r="4" spans="2:7" x14ac:dyDescent="0.25">
      <c r="B4" s="19" t="s">
        <v>53</v>
      </c>
      <c r="C4" s="20">
        <v>27</v>
      </c>
      <c r="D4" s="20" t="s">
        <v>68</v>
      </c>
      <c r="E4" s="21">
        <v>94887</v>
      </c>
      <c r="F4" s="28">
        <f t="shared" ref="F4:F17" si="0">_xlfn.SWITCH(D4,"RJ",35%,"SP",30%,"MG",32%)</f>
        <v>0.35</v>
      </c>
      <c r="G4" s="21">
        <f t="shared" ref="G4:G17" si="1">E4*F4</f>
        <v>33210.449999999997</v>
      </c>
    </row>
    <row r="5" spans="2:7" x14ac:dyDescent="0.25">
      <c r="B5" s="19" t="s">
        <v>54</v>
      </c>
      <c r="C5" s="20">
        <v>31</v>
      </c>
      <c r="D5" s="20" t="s">
        <v>69</v>
      </c>
      <c r="E5" s="21">
        <v>223554</v>
      </c>
      <c r="F5" s="28">
        <f t="shared" si="0"/>
        <v>0.32</v>
      </c>
      <c r="G5" s="21">
        <f t="shared" si="1"/>
        <v>71537.279999999999</v>
      </c>
    </row>
    <row r="6" spans="2:7" x14ac:dyDescent="0.25">
      <c r="B6" s="19" t="s">
        <v>55</v>
      </c>
      <c r="C6" s="20">
        <v>29</v>
      </c>
      <c r="D6" s="20" t="s">
        <v>70</v>
      </c>
      <c r="E6" s="21">
        <v>184726</v>
      </c>
      <c r="F6" s="28">
        <f t="shared" si="0"/>
        <v>0.3</v>
      </c>
      <c r="G6" s="21">
        <f t="shared" si="1"/>
        <v>55417.799999999996</v>
      </c>
    </row>
    <row r="7" spans="2:7" x14ac:dyDescent="0.25">
      <c r="B7" s="19" t="s">
        <v>56</v>
      </c>
      <c r="C7" s="20">
        <v>53</v>
      </c>
      <c r="D7" s="20" t="s">
        <v>70</v>
      </c>
      <c r="E7" s="21">
        <v>256641</v>
      </c>
      <c r="F7" s="28">
        <f t="shared" si="0"/>
        <v>0.3</v>
      </c>
      <c r="G7" s="21">
        <f t="shared" si="1"/>
        <v>76992.3</v>
      </c>
    </row>
    <row r="8" spans="2:7" x14ac:dyDescent="0.25">
      <c r="B8" s="19" t="s">
        <v>57</v>
      </c>
      <c r="C8" s="20">
        <v>26</v>
      </c>
      <c r="D8" s="20" t="s">
        <v>70</v>
      </c>
      <c r="E8" s="21">
        <v>86596</v>
      </c>
      <c r="F8" s="28">
        <f t="shared" si="0"/>
        <v>0.3</v>
      </c>
      <c r="G8" s="21">
        <f t="shared" si="1"/>
        <v>25978.799999999999</v>
      </c>
    </row>
    <row r="9" spans="2:7" x14ac:dyDescent="0.25">
      <c r="B9" s="19" t="s">
        <v>58</v>
      </c>
      <c r="C9" s="20">
        <v>36</v>
      </c>
      <c r="D9" s="20" t="s">
        <v>69</v>
      </c>
      <c r="E9" s="21">
        <v>90212</v>
      </c>
      <c r="F9" s="28">
        <f t="shared" si="0"/>
        <v>0.32</v>
      </c>
      <c r="G9" s="21">
        <f t="shared" si="1"/>
        <v>28867.84</v>
      </c>
    </row>
    <row r="10" spans="2:7" x14ac:dyDescent="0.25">
      <c r="B10" s="19" t="s">
        <v>59</v>
      </c>
      <c r="C10" s="20">
        <v>42</v>
      </c>
      <c r="D10" s="20" t="s">
        <v>68</v>
      </c>
      <c r="E10" s="21">
        <v>199143</v>
      </c>
      <c r="F10" s="28">
        <f t="shared" si="0"/>
        <v>0.35</v>
      </c>
      <c r="G10" s="21">
        <f t="shared" si="1"/>
        <v>69700.049999999988</v>
      </c>
    </row>
    <row r="11" spans="2:7" x14ac:dyDescent="0.25">
      <c r="B11" s="19" t="s">
        <v>60</v>
      </c>
      <c r="C11" s="20">
        <v>19</v>
      </c>
      <c r="D11" s="20" t="s">
        <v>69</v>
      </c>
      <c r="E11" s="21">
        <v>180772</v>
      </c>
      <c r="F11" s="28">
        <f t="shared" si="0"/>
        <v>0.32</v>
      </c>
      <c r="G11" s="21">
        <f t="shared" si="1"/>
        <v>57847.040000000001</v>
      </c>
    </row>
    <row r="12" spans="2:7" x14ac:dyDescent="0.25">
      <c r="B12" s="19" t="s">
        <v>61</v>
      </c>
      <c r="C12" s="20">
        <v>44</v>
      </c>
      <c r="D12" s="20" t="s">
        <v>68</v>
      </c>
      <c r="E12" s="21">
        <v>130798</v>
      </c>
      <c r="F12" s="28">
        <f t="shared" si="0"/>
        <v>0.35</v>
      </c>
      <c r="G12" s="21">
        <f t="shared" si="1"/>
        <v>45779.299999999996</v>
      </c>
    </row>
    <row r="13" spans="2:7" x14ac:dyDescent="0.25">
      <c r="B13" s="19" t="s">
        <v>62</v>
      </c>
      <c r="C13" s="20">
        <v>39</v>
      </c>
      <c r="D13" s="20" t="s">
        <v>68</v>
      </c>
      <c r="E13" s="21">
        <v>92345</v>
      </c>
      <c r="F13" s="28">
        <f t="shared" si="0"/>
        <v>0.35</v>
      </c>
      <c r="G13" s="21">
        <f t="shared" si="1"/>
        <v>32320.749999999996</v>
      </c>
    </row>
    <row r="14" spans="2:7" x14ac:dyDescent="0.25">
      <c r="B14" s="19" t="s">
        <v>63</v>
      </c>
      <c r="C14" s="20">
        <v>55</v>
      </c>
      <c r="D14" s="20" t="s">
        <v>68</v>
      </c>
      <c r="E14" s="21">
        <v>264605</v>
      </c>
      <c r="F14" s="28">
        <f t="shared" si="0"/>
        <v>0.35</v>
      </c>
      <c r="G14" s="21">
        <f t="shared" si="1"/>
        <v>92611.75</v>
      </c>
    </row>
    <row r="15" spans="2:7" x14ac:dyDescent="0.25">
      <c r="B15" s="19" t="s">
        <v>64</v>
      </c>
      <c r="C15" s="20">
        <v>45</v>
      </c>
      <c r="D15" s="20" t="s">
        <v>70</v>
      </c>
      <c r="E15" s="21">
        <v>96480</v>
      </c>
      <c r="F15" s="28">
        <f t="shared" si="0"/>
        <v>0.3</v>
      </c>
      <c r="G15" s="21">
        <f t="shared" si="1"/>
        <v>28944</v>
      </c>
    </row>
    <row r="16" spans="2:7" x14ac:dyDescent="0.25">
      <c r="B16" s="19" t="s">
        <v>65</v>
      </c>
      <c r="C16" s="20">
        <v>47</v>
      </c>
      <c r="D16" s="20" t="s">
        <v>69</v>
      </c>
      <c r="E16" s="21">
        <v>189583</v>
      </c>
      <c r="F16" s="28">
        <f t="shared" si="0"/>
        <v>0.32</v>
      </c>
      <c r="G16" s="21">
        <f t="shared" si="1"/>
        <v>60666.559999999998</v>
      </c>
    </row>
    <row r="17" spans="2:7" x14ac:dyDescent="0.25">
      <c r="B17" s="19" t="s">
        <v>66</v>
      </c>
      <c r="C17" s="20">
        <v>47</v>
      </c>
      <c r="D17" s="20" t="s">
        <v>68</v>
      </c>
      <c r="E17" s="21">
        <v>136888</v>
      </c>
      <c r="F17" s="28">
        <f t="shared" si="0"/>
        <v>0.35</v>
      </c>
      <c r="G17" s="21">
        <f t="shared" si="1"/>
        <v>47910.799999999996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workbookViewId="0">
      <pane xSplit="5" topLeftCell="F1" activePane="topRight" state="frozen"/>
      <selection activeCell="A6" sqref="A6"/>
      <selection pane="topRight" activeCell="I6" sqref="I6"/>
    </sheetView>
  </sheetViews>
  <sheetFormatPr defaultColWidth="9.140625" defaultRowHeight="15" x14ac:dyDescent="0.25"/>
  <cols>
    <col min="1" max="1" width="1.42578125" style="6" customWidth="1"/>
    <col min="2" max="2" width="20.5703125" style="6" bestFit="1" customWidth="1"/>
    <col min="3" max="3" width="8.28515625" style="6" bestFit="1" customWidth="1"/>
    <col min="4" max="4" width="15.140625" style="6" bestFit="1" customWidth="1"/>
    <col min="5" max="5" width="13.5703125" style="6" bestFit="1" customWidth="1"/>
    <col min="6" max="6" width="1.42578125" style="6" customWidth="1"/>
    <col min="7" max="7" width="54.5703125" style="6" customWidth="1"/>
    <col min="8" max="8" width="1.42578125" style="6" customWidth="1"/>
    <col min="9" max="9" width="54.5703125" style="6" bestFit="1" customWidth="1"/>
    <col min="10" max="16384" width="9.140625" style="6"/>
  </cols>
  <sheetData>
    <row r="2" spans="2:9" x14ac:dyDescent="0.25">
      <c r="B2" s="7" t="s">
        <v>7</v>
      </c>
      <c r="C2" s="7" t="s">
        <v>8</v>
      </c>
      <c r="D2" s="7" t="s">
        <v>9</v>
      </c>
      <c r="E2" s="7" t="s">
        <v>10</v>
      </c>
      <c r="G2" s="7" t="s">
        <v>31</v>
      </c>
      <c r="I2" s="7" t="s">
        <v>32</v>
      </c>
    </row>
    <row r="3" spans="2:9" x14ac:dyDescent="0.25">
      <c r="B3" s="8" t="s">
        <v>11</v>
      </c>
      <c r="C3" s="9">
        <v>75</v>
      </c>
      <c r="D3" s="8" t="s">
        <v>12</v>
      </c>
      <c r="E3" s="8" t="s">
        <v>15</v>
      </c>
      <c r="G3" s="29" t="str">
        <f>CONCATENATE(B3,", ",C3,", ",D3,", ",E3)</f>
        <v>Rua Santa Clara, 75, Copacabana, Rio de Janeiro</v>
      </c>
      <c r="I3" s="29" t="str">
        <f>_xlfn.TEXTJOIN(", ",TRUE,B3:E3)</f>
        <v>Rua Santa Clara, 75, Copacabana, Rio de Janeiro</v>
      </c>
    </row>
    <row r="4" spans="2:9" x14ac:dyDescent="0.25">
      <c r="B4" s="8" t="s">
        <v>13</v>
      </c>
      <c r="C4" s="9">
        <v>550</v>
      </c>
      <c r="D4" s="8" t="s">
        <v>14</v>
      </c>
      <c r="E4" s="8" t="s">
        <v>15</v>
      </c>
      <c r="G4" s="29" t="str">
        <f t="shared" ref="G4:G12" si="0">CONCATENATE(B4,", ",C4,", ",D4,", ",E4)</f>
        <v>Rua Sambaíba, 550, Leblon, Rio de Janeiro</v>
      </c>
      <c r="I4" s="29" t="str">
        <f t="shared" ref="I4:I12" si="1">_xlfn.TEXTJOIN(", ",TRUE,B4:E4)</f>
        <v>Rua Sambaíba, 550, Leblon, Rio de Janeiro</v>
      </c>
    </row>
    <row r="5" spans="2:9" x14ac:dyDescent="0.25">
      <c r="B5" s="8" t="s">
        <v>16</v>
      </c>
      <c r="C5" s="9">
        <v>200</v>
      </c>
      <c r="D5" s="8" t="s">
        <v>17</v>
      </c>
      <c r="E5" s="8" t="s">
        <v>15</v>
      </c>
      <c r="G5" s="29" t="str">
        <f t="shared" si="0"/>
        <v>Praia do Flamengo, 200, Catete, Rio de Janeiro</v>
      </c>
      <c r="I5" s="29" t="str">
        <f t="shared" si="1"/>
        <v>Praia do Flamengo, 200, Catete, Rio de Janeiro</v>
      </c>
    </row>
    <row r="6" spans="2:9" x14ac:dyDescent="0.25">
      <c r="B6" s="8" t="s">
        <v>18</v>
      </c>
      <c r="C6" s="9"/>
      <c r="D6" s="8" t="s">
        <v>19</v>
      </c>
      <c r="E6" s="8" t="s">
        <v>15</v>
      </c>
      <c r="G6" s="29" t="str">
        <f t="shared" si="0"/>
        <v>Rua Humaitá, , Humaitá, Rio de Janeiro</v>
      </c>
      <c r="I6" s="29" t="str">
        <f t="shared" si="1"/>
        <v>Rua Humaitá, Humaitá, Rio de Janeiro</v>
      </c>
    </row>
    <row r="7" spans="2:9" x14ac:dyDescent="0.25">
      <c r="B7" s="8" t="s">
        <v>20</v>
      </c>
      <c r="C7" s="9">
        <v>174</v>
      </c>
      <c r="D7" s="8" t="s">
        <v>21</v>
      </c>
      <c r="E7" s="8" t="s">
        <v>15</v>
      </c>
      <c r="G7" s="29" t="str">
        <f t="shared" si="0"/>
        <v>Avenida Rio Branco, 174, Centro, Rio de Janeiro</v>
      </c>
      <c r="I7" s="29" t="str">
        <f t="shared" si="1"/>
        <v>Avenida Rio Branco, 174, Centro, Rio de Janeiro</v>
      </c>
    </row>
    <row r="8" spans="2:9" x14ac:dyDescent="0.25">
      <c r="B8" s="8" t="s">
        <v>22</v>
      </c>
      <c r="C8" s="9"/>
      <c r="D8" s="8" t="s">
        <v>23</v>
      </c>
      <c r="E8" s="8" t="s">
        <v>15</v>
      </c>
      <c r="G8" s="29" t="str">
        <f t="shared" si="0"/>
        <v>Rua Campos Sales, , Tijuca, Rio de Janeiro</v>
      </c>
      <c r="I8" s="29" t="str">
        <f t="shared" si="1"/>
        <v>Rua Campos Sales, Tijuca, Rio de Janeiro</v>
      </c>
    </row>
    <row r="9" spans="2:9" x14ac:dyDescent="0.25">
      <c r="B9" s="8" t="s">
        <v>24</v>
      </c>
      <c r="C9" s="9">
        <v>332</v>
      </c>
      <c r="D9" s="8" t="s">
        <v>21</v>
      </c>
      <c r="E9" s="8" t="s">
        <v>15</v>
      </c>
      <c r="G9" s="29" t="str">
        <f t="shared" si="0"/>
        <v>Rua do Ouvidor, 332, Centro, Rio de Janeiro</v>
      </c>
      <c r="I9" s="29" t="str">
        <f t="shared" si="1"/>
        <v>Rua do Ouvidor, 332, Centro, Rio de Janeiro</v>
      </c>
    </row>
    <row r="10" spans="2:9" x14ac:dyDescent="0.25">
      <c r="B10" s="8" t="s">
        <v>25</v>
      </c>
      <c r="C10" s="9">
        <v>74</v>
      </c>
      <c r="D10" s="8" t="s">
        <v>26</v>
      </c>
      <c r="E10" s="8" t="s">
        <v>15</v>
      </c>
      <c r="G10" s="29" t="str">
        <f t="shared" si="0"/>
        <v>Rua Ibituruna, 74, Maracanã, Rio de Janeiro</v>
      </c>
      <c r="I10" s="29" t="str">
        <f t="shared" si="1"/>
        <v>Rua Ibituruna, 74, Maracanã, Rio de Janeiro</v>
      </c>
    </row>
    <row r="11" spans="2:9" x14ac:dyDescent="0.25">
      <c r="B11" s="8" t="s">
        <v>27</v>
      </c>
      <c r="C11" s="9"/>
      <c r="D11" s="8" t="s">
        <v>28</v>
      </c>
      <c r="E11" s="8" t="s">
        <v>15</v>
      </c>
      <c r="G11" s="29" t="str">
        <f t="shared" si="0"/>
        <v>Avenida das Américas, , Barra da Tijuca, Rio de Janeiro</v>
      </c>
      <c r="I11" s="29" t="str">
        <f t="shared" si="1"/>
        <v>Avenida das Américas, Barra da Tijuca, Rio de Janeiro</v>
      </c>
    </row>
    <row r="12" spans="2:9" x14ac:dyDescent="0.25">
      <c r="B12" s="8" t="s">
        <v>29</v>
      </c>
      <c r="C12" s="9">
        <v>1006</v>
      </c>
      <c r="D12" s="8" t="s">
        <v>30</v>
      </c>
      <c r="E12" s="8" t="s">
        <v>15</v>
      </c>
      <c r="G12" s="29" t="str">
        <f t="shared" si="0"/>
        <v>Rua Jardim Botânico, 1006, Jardim Botânico, Rio de Janeiro</v>
      </c>
      <c r="I12" s="29" t="str">
        <f t="shared" si="1"/>
        <v>Rua Jardim Botânico, 1006, Jardim Botânico, Rio de Janeiro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zoomScaleNormal="60" zoomScaleSheetLayoutView="100" workbookViewId="0">
      <selection activeCell="J6" sqref="J6"/>
    </sheetView>
  </sheetViews>
  <sheetFormatPr defaultColWidth="8.5703125" defaultRowHeight="15" x14ac:dyDescent="0.25"/>
  <cols>
    <col min="1" max="1" width="8.5703125" style="22"/>
    <col min="2" max="2" width="11.42578125" style="22" bestFit="1" customWidth="1"/>
    <col min="3" max="4" width="9.140625" style="22"/>
    <col min="5" max="5" width="13.85546875" style="22" bestFit="1" customWidth="1"/>
    <col min="6" max="7" width="11.5703125" style="22" hidden="1" customWidth="1"/>
    <col min="8" max="8" width="8.5703125" style="22"/>
    <col min="9" max="9" width="8.7109375" style="22" bestFit="1" customWidth="1"/>
    <col min="10" max="10" width="12" style="22" bestFit="1" customWidth="1"/>
    <col min="11" max="16384" width="8.5703125" style="22"/>
  </cols>
  <sheetData>
    <row r="2" spans="2:10" x14ac:dyDescent="0.25">
      <c r="B2" s="27" t="s">
        <v>50</v>
      </c>
      <c r="C2" s="27" t="s">
        <v>51</v>
      </c>
      <c r="D2" s="27" t="s">
        <v>67</v>
      </c>
      <c r="E2" s="27" t="s">
        <v>47</v>
      </c>
      <c r="F2" s="27" t="s">
        <v>71</v>
      </c>
      <c r="G2" s="27" t="s">
        <v>72</v>
      </c>
    </row>
    <row r="3" spans="2:10" x14ac:dyDescent="0.25">
      <c r="B3" s="23" t="s">
        <v>52</v>
      </c>
      <c r="C3" s="24">
        <v>27</v>
      </c>
      <c r="D3" s="24" t="s">
        <v>68</v>
      </c>
      <c r="E3" s="25">
        <v>117393</v>
      </c>
      <c r="F3" s="26">
        <v>0.35</v>
      </c>
      <c r="G3" s="25">
        <f>E3*F3</f>
        <v>41087.549999999996</v>
      </c>
    </row>
    <row r="4" spans="2:10" x14ac:dyDescent="0.25">
      <c r="B4" s="23" t="s">
        <v>53</v>
      </c>
      <c r="C4" s="24">
        <v>27</v>
      </c>
      <c r="D4" s="24" t="s">
        <v>68</v>
      </c>
      <c r="E4" s="25">
        <v>94887</v>
      </c>
      <c r="F4" s="26">
        <v>0.35</v>
      </c>
      <c r="G4" s="25">
        <f t="shared" ref="G4:G17" si="0">E4*F4</f>
        <v>33210.449999999997</v>
      </c>
    </row>
    <row r="5" spans="2:10" x14ac:dyDescent="0.25">
      <c r="B5" s="23" t="s">
        <v>54</v>
      </c>
      <c r="C5" s="24">
        <v>31</v>
      </c>
      <c r="D5" s="24" t="s">
        <v>69</v>
      </c>
      <c r="E5" s="25">
        <v>223554</v>
      </c>
      <c r="F5" s="26">
        <v>0.32</v>
      </c>
      <c r="G5" s="25">
        <f t="shared" si="0"/>
        <v>71537.279999999999</v>
      </c>
      <c r="I5" s="27" t="s">
        <v>73</v>
      </c>
      <c r="J5" s="24" t="s">
        <v>70</v>
      </c>
    </row>
    <row r="6" spans="2:10" x14ac:dyDescent="0.25">
      <c r="B6" s="23" t="s">
        <v>55</v>
      </c>
      <c r="C6" s="24">
        <v>29</v>
      </c>
      <c r="D6" s="24" t="s">
        <v>70</v>
      </c>
      <c r="E6" s="25">
        <v>184726</v>
      </c>
      <c r="F6" s="26">
        <v>0.3</v>
      </c>
      <c r="G6" s="25">
        <f t="shared" si="0"/>
        <v>55417.799999999996</v>
      </c>
      <c r="I6" s="27" t="s">
        <v>74</v>
      </c>
      <c r="J6" s="32">
        <f>_xlfn.MAXIFS(E:E,D:D,J5)</f>
        <v>256641</v>
      </c>
    </row>
    <row r="7" spans="2:10" x14ac:dyDescent="0.25">
      <c r="B7" s="23" t="s">
        <v>56</v>
      </c>
      <c r="C7" s="24">
        <v>53</v>
      </c>
      <c r="D7" s="24" t="s">
        <v>70</v>
      </c>
      <c r="E7" s="25">
        <v>256641</v>
      </c>
      <c r="F7" s="26">
        <v>0.3</v>
      </c>
      <c r="G7" s="25">
        <f t="shared" si="0"/>
        <v>76992.3</v>
      </c>
      <c r="I7" s="27" t="s">
        <v>75</v>
      </c>
      <c r="J7" s="32">
        <f>_xlfn.MINIFS(E:E,D:D,J5)</f>
        <v>86596</v>
      </c>
    </row>
    <row r="8" spans="2:10" x14ac:dyDescent="0.25">
      <c r="B8" s="23" t="s">
        <v>57</v>
      </c>
      <c r="C8" s="24">
        <v>26</v>
      </c>
      <c r="D8" s="24" t="s">
        <v>70</v>
      </c>
      <c r="E8" s="25">
        <v>86596</v>
      </c>
      <c r="F8" s="26">
        <v>0.3</v>
      </c>
      <c r="G8" s="25">
        <f t="shared" si="0"/>
        <v>25978.799999999999</v>
      </c>
    </row>
    <row r="9" spans="2:10" x14ac:dyDescent="0.25">
      <c r="B9" s="23" t="s">
        <v>58</v>
      </c>
      <c r="C9" s="24">
        <v>36</v>
      </c>
      <c r="D9" s="24" t="s">
        <v>69</v>
      </c>
      <c r="E9" s="25">
        <v>90212</v>
      </c>
      <c r="F9" s="26">
        <v>0.32</v>
      </c>
      <c r="G9" s="25">
        <f t="shared" si="0"/>
        <v>28867.84</v>
      </c>
    </row>
    <row r="10" spans="2:10" x14ac:dyDescent="0.25">
      <c r="B10" s="23" t="s">
        <v>59</v>
      </c>
      <c r="C10" s="24">
        <v>42</v>
      </c>
      <c r="D10" s="24" t="s">
        <v>68</v>
      </c>
      <c r="E10" s="25">
        <v>199143</v>
      </c>
      <c r="F10" s="26">
        <v>0.35</v>
      </c>
      <c r="G10" s="25">
        <f t="shared" si="0"/>
        <v>69700.049999999988</v>
      </c>
    </row>
    <row r="11" spans="2:10" x14ac:dyDescent="0.25">
      <c r="B11" s="23" t="s">
        <v>60</v>
      </c>
      <c r="C11" s="24">
        <v>19</v>
      </c>
      <c r="D11" s="24" t="s">
        <v>69</v>
      </c>
      <c r="E11" s="25">
        <v>180772</v>
      </c>
      <c r="F11" s="26">
        <v>0.32</v>
      </c>
      <c r="G11" s="25">
        <f t="shared" si="0"/>
        <v>57847.040000000001</v>
      </c>
    </row>
    <row r="12" spans="2:10" x14ac:dyDescent="0.25">
      <c r="B12" s="23" t="s">
        <v>61</v>
      </c>
      <c r="C12" s="24">
        <v>44</v>
      </c>
      <c r="D12" s="24" t="s">
        <v>68</v>
      </c>
      <c r="E12" s="25">
        <v>130798</v>
      </c>
      <c r="F12" s="26">
        <v>0.35</v>
      </c>
      <c r="G12" s="25">
        <f t="shared" si="0"/>
        <v>45779.299999999996</v>
      </c>
    </row>
    <row r="13" spans="2:10" x14ac:dyDescent="0.25">
      <c r="B13" s="23" t="s">
        <v>62</v>
      </c>
      <c r="C13" s="24">
        <v>39</v>
      </c>
      <c r="D13" s="24" t="s">
        <v>68</v>
      </c>
      <c r="E13" s="25">
        <v>92345</v>
      </c>
      <c r="F13" s="26">
        <v>0.35</v>
      </c>
      <c r="G13" s="25">
        <f t="shared" si="0"/>
        <v>32320.749999999996</v>
      </c>
    </row>
    <row r="14" spans="2:10" x14ac:dyDescent="0.25">
      <c r="B14" s="23" t="s">
        <v>63</v>
      </c>
      <c r="C14" s="24">
        <v>55</v>
      </c>
      <c r="D14" s="24" t="s">
        <v>68</v>
      </c>
      <c r="E14" s="25">
        <v>264605</v>
      </c>
      <c r="F14" s="26">
        <v>0.35</v>
      </c>
      <c r="G14" s="25">
        <f t="shared" si="0"/>
        <v>92611.75</v>
      </c>
    </row>
    <row r="15" spans="2:10" x14ac:dyDescent="0.25">
      <c r="B15" s="23" t="s">
        <v>64</v>
      </c>
      <c r="C15" s="24">
        <v>45</v>
      </c>
      <c r="D15" s="24" t="s">
        <v>70</v>
      </c>
      <c r="E15" s="25">
        <v>96480</v>
      </c>
      <c r="F15" s="26">
        <v>0.3</v>
      </c>
      <c r="G15" s="25">
        <f t="shared" si="0"/>
        <v>28944</v>
      </c>
    </row>
    <row r="16" spans="2:10" x14ac:dyDescent="0.25">
      <c r="B16" s="23" t="s">
        <v>65</v>
      </c>
      <c r="C16" s="24">
        <v>47</v>
      </c>
      <c r="D16" s="24" t="s">
        <v>69</v>
      </c>
      <c r="E16" s="25">
        <v>189583</v>
      </c>
      <c r="F16" s="26">
        <v>0.32</v>
      </c>
      <c r="G16" s="25">
        <f t="shared" si="0"/>
        <v>60666.559999999998</v>
      </c>
    </row>
    <row r="17" spans="2:7" x14ac:dyDescent="0.25">
      <c r="B17" s="23" t="s">
        <v>66</v>
      </c>
      <c r="C17" s="24">
        <v>47</v>
      </c>
      <c r="D17" s="24" t="s">
        <v>68</v>
      </c>
      <c r="E17" s="25">
        <v>136888</v>
      </c>
      <c r="F17" s="26">
        <v>0.35</v>
      </c>
      <c r="G17" s="25">
        <f t="shared" si="0"/>
        <v>47910.799999999996</v>
      </c>
    </row>
  </sheetData>
  <dataValidations count="1">
    <dataValidation type="list" allowBlank="1" showInputMessage="1" showErrorMessage="1" sqref="J5">
      <formula1>$D$4:$D$6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SES</vt:lpstr>
      <vt:lpstr>CONCAT (2)</vt:lpstr>
      <vt:lpstr>CONCAT</vt:lpstr>
      <vt:lpstr>PARÂMETRO</vt:lpstr>
      <vt:lpstr>UNIRTEXTO</vt:lpstr>
      <vt:lpstr>MÁXIMO-MÍNIMO.SES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Barreto</dc:creator>
  <cp:lastModifiedBy>Joao Paulo de Lira</cp:lastModifiedBy>
  <dcterms:created xsi:type="dcterms:W3CDTF">2017-07-02T15:08:31Z</dcterms:created>
  <dcterms:modified xsi:type="dcterms:W3CDTF">2017-08-07T21:19:44Z</dcterms:modified>
</cp:coreProperties>
</file>