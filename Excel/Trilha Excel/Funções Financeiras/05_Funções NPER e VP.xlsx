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3 - Funções Financeiras\"/>
    </mc:Choice>
  </mc:AlternateContent>
  <xr:revisionPtr revIDLastSave="0" documentId="13_ncr:1_{CA706BB6-ED7D-458E-AD31-6073B1577CD9}" xr6:coauthVersionLast="47" xr6:coauthVersionMax="47" xr10:uidLastSave="{00000000-0000-0000-0000-000000000000}"/>
  <bookViews>
    <workbookView xWindow="-108" yWindow="-108" windowWidth="23256" windowHeight="12576" tabRatio="1000" xr2:uid="{25A05545-28B5-48BE-AB92-F3471190387D}"/>
  </bookViews>
  <sheets>
    <sheet name="Porcentagem" sheetId="11" r:id="rId1"/>
    <sheet name="Juro Simples vs Composto" sheetId="1" r:id="rId2"/>
    <sheet name="Valor Futuro (VF)" sheetId="2" r:id="rId3"/>
    <sheet name="Tempo (NPER)" sheetId="5" r:id="rId4"/>
    <sheet name="Taxa (TAXA)" sheetId="3" r:id="rId5"/>
    <sheet name="Fluxo de Rendimento" sheetId="4" r:id="rId6"/>
    <sheet name="Conversão de Taxa" sheetId="7" r:id="rId7"/>
    <sheet name="Pagamentos Parcelados (PGTO)" sheetId="6" r:id="rId8"/>
    <sheet name="VPL" sheetId="8" r:id="rId9"/>
    <sheet name="TIR" sheetId="9" r:id="rId10"/>
    <sheet name="PAYBACK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11" l="1"/>
  <c r="I5" i="11"/>
  <c r="O5" i="11"/>
  <c r="F5" i="11"/>
  <c r="C5" i="11"/>
  <c r="F20" i="1"/>
  <c r="B20" i="1"/>
  <c r="B8" i="10" l="1"/>
  <c r="D12" i="10"/>
  <c r="D13" i="10" s="1"/>
  <c r="D14" i="10" s="1"/>
  <c r="D15" i="10" s="1"/>
  <c r="D16" i="10" s="1"/>
  <c r="D17" i="10" s="1"/>
  <c r="B7" i="10"/>
  <c r="B6" i="10"/>
  <c r="B5" i="9"/>
  <c r="B6" i="9" s="1"/>
  <c r="B7" i="9"/>
  <c r="B6" i="8"/>
  <c r="B7" i="6" l="1"/>
  <c r="B9" i="6" s="1"/>
  <c r="A10" i="7"/>
  <c r="A5" i="7"/>
  <c r="C17" i="4"/>
  <c r="C10" i="4"/>
  <c r="C11" i="4"/>
  <c r="C12" i="4"/>
  <c r="C13" i="4"/>
  <c r="C14" i="4"/>
  <c r="C15" i="4"/>
  <c r="C16" i="4"/>
  <c r="C9" i="4"/>
  <c r="C8" i="4"/>
  <c r="B12" i="4"/>
  <c r="B13" i="4" s="1"/>
  <c r="B14" i="4" s="1"/>
  <c r="B15" i="4" s="1"/>
  <c r="B16" i="4" s="1"/>
  <c r="B17" i="4" s="1"/>
  <c r="B11" i="4"/>
  <c r="B10" i="4"/>
  <c r="B9" i="4"/>
  <c r="B8" i="4"/>
  <c r="E8" i="3"/>
  <c r="E10" i="3" s="1"/>
  <c r="E7" i="3"/>
  <c r="B9" i="5"/>
  <c r="B8" i="5"/>
  <c r="B7" i="5"/>
  <c r="F10" i="2"/>
  <c r="B10" i="5" l="1"/>
  <c r="F21" i="1"/>
  <c r="G12" i="1"/>
  <c r="F12" i="1" s="1"/>
  <c r="G13" i="1" s="1"/>
  <c r="F13" i="1" s="1"/>
  <c r="G14" i="1" s="1"/>
  <c r="F14" i="1" s="1"/>
  <c r="G15" i="1" s="1"/>
  <c r="F15" i="1" s="1"/>
  <c r="G16" i="1" s="1"/>
  <c r="F16" i="1" s="1"/>
  <c r="G17" i="1" s="1"/>
  <c r="F17" i="1" s="1"/>
  <c r="G18" i="1" s="1"/>
  <c r="F18" i="1" s="1"/>
  <c r="G11" i="1"/>
  <c r="F11" i="1" s="1"/>
  <c r="F10" i="1"/>
  <c r="G10" i="1"/>
  <c r="F9" i="1"/>
  <c r="G9" i="1"/>
  <c r="B21" i="1"/>
  <c r="B11" i="1"/>
  <c r="B12" i="1" s="1"/>
  <c r="B13" i="1" s="1"/>
  <c r="B14" i="1" s="1"/>
  <c r="B15" i="1" s="1"/>
  <c r="B16" i="1" s="1"/>
  <c r="B17" i="1" s="1"/>
  <c r="B18" i="1" s="1"/>
  <c r="B10" i="1"/>
  <c r="B9" i="1"/>
  <c r="C12" i="1"/>
  <c r="C13" i="1"/>
  <c r="C14" i="1"/>
  <c r="C15" i="1"/>
  <c r="C16" i="1"/>
  <c r="C17" i="1"/>
  <c r="C18" i="1"/>
  <c r="C11" i="1"/>
  <c r="C10" i="1"/>
  <c r="C9" i="1"/>
  <c r="B17" i="3" l="1"/>
  <c r="E8" i="4"/>
  <c r="E7" i="4"/>
  <c r="B8" i="2"/>
  <c r="B9" i="2" s="1"/>
  <c r="B10" i="2" l="1"/>
  <c r="C9" i="2"/>
  <c r="B11" i="2" l="1"/>
  <c r="C10" i="2"/>
  <c r="B12" i="2" l="1"/>
  <c r="C11" i="2"/>
  <c r="C12" i="2" l="1"/>
  <c r="B13" i="2"/>
  <c r="B14" i="2" l="1"/>
  <c r="C13" i="2"/>
  <c r="C14" i="2" l="1"/>
  <c r="B15" i="2"/>
  <c r="B16" i="2" l="1"/>
  <c r="C15" i="2"/>
  <c r="B17" i="2" l="1"/>
  <c r="C16" i="2"/>
  <c r="B18" i="2" l="1"/>
  <c r="C17" i="2"/>
  <c r="C18" i="2" l="1"/>
  <c r="E10" i="4"/>
</calcChain>
</file>

<file path=xl/sharedStrings.xml><?xml version="1.0" encoding="utf-8"?>
<sst xmlns="http://schemas.openxmlformats.org/spreadsheetml/2006/main" count="139" uniqueCount="57">
  <si>
    <t>Taxa</t>
  </si>
  <si>
    <t>ao ano</t>
  </si>
  <si>
    <t>Valor Inicial</t>
  </si>
  <si>
    <t>ao mês</t>
  </si>
  <si>
    <t>VP</t>
  </si>
  <si>
    <t>TAXA</t>
  </si>
  <si>
    <t>VF</t>
  </si>
  <si>
    <t>anos</t>
  </si>
  <si>
    <t>NPER</t>
  </si>
  <si>
    <t>Rendimento</t>
  </si>
  <si>
    <t>Diferença</t>
  </si>
  <si>
    <t>Valor Acumulado</t>
  </si>
  <si>
    <t>Objetivo</t>
  </si>
  <si>
    <t>Ano</t>
  </si>
  <si>
    <t>Taxa ao Ano para Taxa ao Mês</t>
  </si>
  <si>
    <t>Taxa ao Mês para Taxa ao Ano</t>
  </si>
  <si>
    <t>((1+taxa ao ano)^(1/12))-1</t>
  </si>
  <si>
    <t>taxa ao mês</t>
  </si>
  <si>
    <t>taxa ao ano</t>
  </si>
  <si>
    <t>((1+taxa ao mês)^12)-1</t>
  </si>
  <si>
    <t>https://www.istoedinheiro.com.br/saiba-quais-sao-as-taxa-de-juros-dos-financiamentos-de-veiculos/</t>
  </si>
  <si>
    <t>Publicação feita no dia 30/01/2020 disponível no link abaixo</t>
  </si>
  <si>
    <t>Valor do carro</t>
  </si>
  <si>
    <t>Parcelas</t>
  </si>
  <si>
    <t>meses</t>
  </si>
  <si>
    <t>Valor das parcelas</t>
  </si>
  <si>
    <t>Pagamentos Parcelados (PGTO)</t>
  </si>
  <si>
    <t>Valor total pago</t>
  </si>
  <si>
    <t>Juro Simples</t>
  </si>
  <si>
    <t>Juro Composto</t>
  </si>
  <si>
    <t>Ganho</t>
  </si>
  <si>
    <t>mês</t>
  </si>
  <si>
    <t>Fluxo</t>
  </si>
  <si>
    <t>Acumulativo</t>
  </si>
  <si>
    <t>TMA</t>
  </si>
  <si>
    <t>VPL</t>
  </si>
  <si>
    <t>TIR</t>
  </si>
  <si>
    <t>PAYBACK</t>
  </si>
  <si>
    <t>Valor Presente Líquido (VPL)</t>
  </si>
  <si>
    <t>Taxa Interna de Retorno (TIR)</t>
  </si>
  <si>
    <t>Payback (Dinheiro de volta ou Momento de Lucro)</t>
  </si>
  <si>
    <t>TMA &lt; TIR</t>
  </si>
  <si>
    <t>VPL POSITIVO</t>
  </si>
  <si>
    <t>PROJETO VIÁVEL</t>
  </si>
  <si>
    <t>TMA &gt; TIR</t>
  </si>
  <si>
    <t>VPL NEGATIVO</t>
  </si>
  <si>
    <t>PROJETO INVIÁVEL</t>
  </si>
  <si>
    <t>TMA = TIR</t>
  </si>
  <si>
    <t>VPL ZERADO</t>
  </si>
  <si>
    <t>INCONCLUSIVO</t>
  </si>
  <si>
    <t>Fluxo Descontado</t>
  </si>
  <si>
    <t>Fluxo Simples</t>
  </si>
  <si>
    <t>Valor Final</t>
  </si>
  <si>
    <t>Desconto %</t>
  </si>
  <si>
    <t>Acréscimo %</t>
  </si>
  <si>
    <t>Variação %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</si>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</sst>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0.0%"/>
    <numFmt numFmtId="166" formatCode="0.000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B200"/>
        <bgColor indexed="64"/>
      </patternFill>
    </fill>
    <fill>
      <patternFill patternType="solid">
        <fgColor rgb="FF62983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686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quotePrefix="1" applyNumberFormat="1" applyAlignment="1">
      <alignment horizontal="left"/>
    </xf>
    <xf numFmtId="164" fontId="0" fillId="3" borderId="1" xfId="0" applyNumberFormat="1" applyFill="1" applyBorder="1" applyAlignment="1">
      <alignment horizontal="left"/>
    </xf>
    <xf numFmtId="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9" fontId="0" fillId="0" borderId="0" xfId="1" applyFon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2" fillId="4" borderId="0" xfId="0" applyFont="1" applyFill="1" applyAlignment="1"/>
    <xf numFmtId="0" fontId="2" fillId="5" borderId="0" xfId="0" applyFont="1" applyFill="1" applyAlignment="1"/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6" borderId="1" xfId="0" applyFill="1" applyBorder="1" applyAlignment="1">
      <alignment horizontal="left"/>
    </xf>
    <xf numFmtId="8" fontId="0" fillId="6" borderId="1" xfId="0" applyNumberFormat="1" applyFill="1" applyBorder="1" applyAlignment="1">
      <alignment horizontal="left"/>
    </xf>
    <xf numFmtId="165" fontId="0" fillId="6" borderId="1" xfId="0" applyNumberFormat="1" applyFill="1" applyBorder="1" applyAlignment="1">
      <alignment horizontal="left"/>
    </xf>
    <xf numFmtId="165" fontId="0" fillId="3" borderId="1" xfId="0" applyNumberFormat="1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0" fontId="0" fillId="0" borderId="0" xfId="0" applyNumberFormat="1" applyAlignment="1">
      <alignment horizontal="left"/>
    </xf>
    <xf numFmtId="165" fontId="0" fillId="2" borderId="0" xfId="1" applyNumberFormat="1" applyFont="1" applyFill="1" applyAlignment="1">
      <alignment horizontal="left"/>
    </xf>
    <xf numFmtId="0" fontId="2" fillId="3" borderId="0" xfId="0" applyFont="1" applyFill="1" applyAlignment="1"/>
    <xf numFmtId="0" fontId="4" fillId="0" borderId="0" xfId="2"/>
    <xf numFmtId="8" fontId="0" fillId="0" borderId="0" xfId="0" applyNumberFormat="1"/>
    <xf numFmtId="164" fontId="0" fillId="0" borderId="0" xfId="0" applyNumberFormat="1"/>
    <xf numFmtId="164" fontId="0" fillId="2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  <xf numFmtId="0" fontId="2" fillId="0" borderId="0" xfId="0" applyFont="1" applyFill="1"/>
    <xf numFmtId="165" fontId="0" fillId="0" borderId="0" xfId="0" applyNumberFormat="1"/>
    <xf numFmtId="10" fontId="0" fillId="2" borderId="0" xfId="1" applyNumberFormat="1" applyFont="1" applyFill="1" applyAlignment="1">
      <alignment horizontal="left"/>
    </xf>
    <xf numFmtId="10" fontId="0" fillId="0" borderId="0" xfId="0" applyNumberFormat="1" applyFill="1" applyAlignment="1">
      <alignment horizontal="left"/>
    </xf>
    <xf numFmtId="16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0" fillId="7" borderId="0" xfId="0" applyFill="1"/>
    <xf numFmtId="9" fontId="2" fillId="7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5" fontId="0" fillId="5" borderId="0" xfId="0" applyNumberFormat="1" applyFill="1" applyAlignment="1">
      <alignment horizontal="left"/>
    </xf>
    <xf numFmtId="164" fontId="0" fillId="5" borderId="0" xfId="0" applyNumberFormat="1" applyFill="1" applyAlignment="1">
      <alignment horizontal="center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0" fillId="0" borderId="0" xfId="0" applyFont="1" applyFill="1"/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9" fontId="5" fillId="11" borderId="1" xfId="0" applyNumberFormat="1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9" fontId="5" fillId="13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4" fontId="5" fillId="14" borderId="1" xfId="0" applyNumberFormat="1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164" fontId="5" fillId="16" borderId="1" xfId="0" applyNumberFormat="1" applyFont="1" applyFill="1" applyBorder="1" applyAlignment="1">
      <alignment horizontal="center"/>
    </xf>
    <xf numFmtId="9" fontId="0" fillId="0" borderId="0" xfId="0" applyNumberFormat="1" applyFill="1" applyBorder="1"/>
  </cellXfs>
  <cellStyles count="3">
    <cellStyle name="Hiperlink" xfId="2" builtinId="8"/>
    <cellStyle name="Normal" xfId="0" builtinId="0"/>
    <cellStyle name="Porcentagem" xfId="1" builtinId="5"/>
  </cellStyles>
  <dxfs count="6">
    <dxf>
      <fill>
        <patternFill>
          <bgColor rgb="FFFF7D7D"/>
        </patternFill>
      </fill>
    </dxf>
    <dxf>
      <fill>
        <patternFill>
          <bgColor rgb="FF85FFBC"/>
        </patternFill>
      </fill>
    </dxf>
    <dxf>
      <fill>
        <patternFill>
          <bgColor rgb="FFFF7171"/>
        </patternFill>
      </fill>
    </dxf>
    <dxf>
      <fill>
        <patternFill>
          <bgColor rgb="FF53FFA1"/>
        </patternFill>
      </fill>
    </dxf>
    <dxf>
      <fill>
        <patternFill>
          <bgColor rgb="FFFF7171"/>
        </patternFill>
      </fill>
    </dxf>
    <dxf>
      <fill>
        <patternFill>
          <bgColor rgb="FF53FFA1"/>
        </patternFill>
      </fill>
    </dxf>
  </dxfs>
  <tableStyles count="0" defaultTableStyle="TableStyleMedium2" defaultPivotStyle="PivotStyleLight16"/>
  <colors>
    <mruColors>
      <color rgb="FF868686"/>
      <color rgb="FF62983E"/>
      <color rgb="FFEAB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615461</xdr:colOff>
      <xdr:row>7</xdr:row>
      <xdr:rowOff>82061</xdr:rowOff>
    </xdr:from>
    <xdr:to>
      <xdr:col>1</xdr:col>
      <xdr:colOff>615461</xdr:colOff>
      <xdr:row>15</xdr:row>
      <xdr:rowOff>93785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CAF842EA-D1BE-4200-9C3B-F4BD4F4EE842}"/>
            </a:ext>
          </a:extLst>
        </xdr:cNvPr>
        <xdr:cNvCxnSpPr/>
      </xdr:nvCxnSpPr>
      <xdr:spPr>
        <a:xfrm>
          <a:off x="1852246" y="1535723"/>
          <a:ext cx="0" cy="14653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11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E61D056-BA5F-428B-9574-BC67BE8FF098}"/>
            </a:ext>
          </a:extLst>
        </xdr:cNvPr>
        <xdr:cNvSpPr/>
      </xdr:nvSpPr>
      <xdr:spPr>
        <a:xfrm>
          <a:off x="4308764" y="180109"/>
          <a:ext cx="6096000" cy="180109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41029</xdr:colOff>
      <xdr:row>1</xdr:row>
      <xdr:rowOff>73416</xdr:rowOff>
    </xdr:from>
    <xdr:to>
      <xdr:col>11</xdr:col>
      <xdr:colOff>458750</xdr:colOff>
      <xdr:row>10</xdr:row>
      <xdr:rowOff>162523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2BA672-38DB-4A18-BF96-A3E192C79C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647" t="32780" r="7942" b="37197"/>
        <a:stretch/>
      </xdr:blipFill>
      <xdr:spPr>
        <a:xfrm>
          <a:off x="4360983" y="255124"/>
          <a:ext cx="5785339" cy="1724476"/>
        </a:xfrm>
        <a:prstGeom prst="rect">
          <a:avLst/>
        </a:prstGeom>
      </xdr:spPr>
    </xdr:pic>
    <xdr:clientData/>
  </xdr:twoCellAnchor>
  <xdr:twoCellAnchor>
    <xdr:from>
      <xdr:col>0</xdr:col>
      <xdr:colOff>256309</xdr:colOff>
      <xdr:row>12</xdr:row>
      <xdr:rowOff>173182</xdr:rowOff>
    </xdr:from>
    <xdr:to>
      <xdr:col>2</xdr:col>
      <xdr:colOff>552450</xdr:colOff>
      <xdr:row>12</xdr:row>
      <xdr:rowOff>173182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9DB45B4-465A-4B36-AD94-9DE75F18DE3B}"/>
            </a:ext>
          </a:extLst>
        </xdr:cNvPr>
        <xdr:cNvCxnSpPr/>
      </xdr:nvCxnSpPr>
      <xdr:spPr>
        <a:xfrm>
          <a:off x="256309" y="2382982"/>
          <a:ext cx="27599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250825</xdr:colOff>
      <xdr:row>10</xdr:row>
      <xdr:rowOff>58448</xdr:rowOff>
    </xdr:from>
    <xdr:to>
      <xdr:col>0</xdr:col>
      <xdr:colOff>250825</xdr:colOff>
      <xdr:row>12</xdr:row>
      <xdr:rowOff>169285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1BB70D6-DDAC-4167-A7D4-48570A4089D0}"/>
            </a:ext>
          </a:extLst>
        </xdr:cNvPr>
        <xdr:cNvCxnSpPr/>
      </xdr:nvCxnSpPr>
      <xdr:spPr>
        <a:xfrm flipV="1">
          <a:off x="250825" y="1899948"/>
          <a:ext cx="0" cy="479137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442912</xdr:colOff>
      <xdr:row>12</xdr:row>
      <xdr:rowOff>178782</xdr:rowOff>
    </xdr:from>
    <xdr:to>
      <xdr:col>0</xdr:col>
      <xdr:colOff>442912</xdr:colOff>
      <xdr:row>13</xdr:row>
      <xdr:rowOff>167958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CF69448-2FB2-40DD-876C-26654631B286}"/>
            </a:ext>
          </a:extLst>
        </xdr:cNvPr>
        <xdr:cNvCxnSpPr/>
      </xdr:nvCxnSpPr>
      <xdr:spPr>
        <a:xfrm flipV="1">
          <a:off x="442912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619124</xdr:colOff>
      <xdr:row>12</xdr:row>
      <xdr:rowOff>178782</xdr:rowOff>
    </xdr:from>
    <xdr:to>
      <xdr:col>0</xdr:col>
      <xdr:colOff>619124</xdr:colOff>
      <xdr:row>13</xdr:row>
      <xdr:rowOff>167958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509106D7-1A1C-455B-8C83-097D480BC220}"/>
            </a:ext>
          </a:extLst>
        </xdr:cNvPr>
        <xdr:cNvCxnSpPr/>
      </xdr:nvCxnSpPr>
      <xdr:spPr>
        <a:xfrm flipV="1">
          <a:off x="619124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776287</xdr:colOff>
      <xdr:row>12</xdr:row>
      <xdr:rowOff>172750</xdr:rowOff>
    </xdr:from>
    <xdr:to>
      <xdr:col>0</xdr:col>
      <xdr:colOff>776287</xdr:colOff>
      <xdr:row>13</xdr:row>
      <xdr:rowOff>158751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A1B842D8-BB0E-435D-AF0F-6D8F93D8EBFC}"/>
            </a:ext>
          </a:extLst>
        </xdr:cNvPr>
        <xdr:cNvCxnSpPr/>
      </xdr:nvCxnSpPr>
      <xdr:spPr>
        <a:xfrm flipV="1">
          <a:off x="776287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952499</xdr:colOff>
      <xdr:row>12</xdr:row>
      <xdr:rowOff>172750</xdr:rowOff>
    </xdr:from>
    <xdr:to>
      <xdr:col>0</xdr:col>
      <xdr:colOff>952499</xdr:colOff>
      <xdr:row>13</xdr:row>
      <xdr:rowOff>158751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3F1AEA6-2AE3-4DD7-A6F2-42F80041424B}"/>
            </a:ext>
          </a:extLst>
        </xdr:cNvPr>
        <xdr:cNvCxnSpPr/>
      </xdr:nvCxnSpPr>
      <xdr:spPr>
        <a:xfrm flipV="1">
          <a:off x="952499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1128712</xdr:colOff>
      <xdr:row>12</xdr:row>
      <xdr:rowOff>178782</xdr:rowOff>
    </xdr:from>
    <xdr:to>
      <xdr:col>0</xdr:col>
      <xdr:colOff>1128712</xdr:colOff>
      <xdr:row>13</xdr:row>
      <xdr:rowOff>167958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D2FDA3B8-1742-4997-874C-F822B46330AD}"/>
            </a:ext>
          </a:extLst>
        </xdr:cNvPr>
        <xdr:cNvCxnSpPr/>
      </xdr:nvCxnSpPr>
      <xdr:spPr>
        <a:xfrm flipV="1">
          <a:off x="1128712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71436</xdr:colOff>
      <xdr:row>12</xdr:row>
      <xdr:rowOff>172750</xdr:rowOff>
    </xdr:from>
    <xdr:to>
      <xdr:col>1</xdr:col>
      <xdr:colOff>71436</xdr:colOff>
      <xdr:row>13</xdr:row>
      <xdr:rowOff>158751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275CA580-1131-4025-9D60-8F326C61F948}"/>
            </a:ext>
          </a:extLst>
        </xdr:cNvPr>
        <xdr:cNvCxnSpPr/>
      </xdr:nvCxnSpPr>
      <xdr:spPr>
        <a:xfrm flipV="1">
          <a:off x="1303336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228599</xdr:colOff>
      <xdr:row>12</xdr:row>
      <xdr:rowOff>172750</xdr:rowOff>
    </xdr:from>
    <xdr:to>
      <xdr:col>1</xdr:col>
      <xdr:colOff>228599</xdr:colOff>
      <xdr:row>13</xdr:row>
      <xdr:rowOff>158751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219C88F2-25BD-494F-BDB5-2F173335D50C}"/>
            </a:ext>
          </a:extLst>
        </xdr:cNvPr>
        <xdr:cNvCxnSpPr/>
      </xdr:nvCxnSpPr>
      <xdr:spPr>
        <a:xfrm flipV="1">
          <a:off x="1460499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404811</xdr:colOff>
      <xdr:row>12</xdr:row>
      <xdr:rowOff>178782</xdr:rowOff>
    </xdr:from>
    <xdr:to>
      <xdr:col>1</xdr:col>
      <xdr:colOff>404811</xdr:colOff>
      <xdr:row>13</xdr:row>
      <xdr:rowOff>167958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ED1501F9-8075-4395-92E0-F924CCDAB6EA}"/>
            </a:ext>
          </a:extLst>
        </xdr:cNvPr>
        <xdr:cNvCxnSpPr/>
      </xdr:nvCxnSpPr>
      <xdr:spPr>
        <a:xfrm flipV="1">
          <a:off x="1639251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581024</xdr:colOff>
      <xdr:row>12</xdr:row>
      <xdr:rowOff>178782</xdr:rowOff>
    </xdr:from>
    <xdr:to>
      <xdr:col>1</xdr:col>
      <xdr:colOff>581024</xdr:colOff>
      <xdr:row>13</xdr:row>
      <xdr:rowOff>167958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F10A499-37DF-495A-AA0F-CDC4ECF29E83}"/>
            </a:ext>
          </a:extLst>
        </xdr:cNvPr>
        <xdr:cNvCxnSpPr/>
      </xdr:nvCxnSpPr>
      <xdr:spPr>
        <a:xfrm flipV="1">
          <a:off x="1815464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757236</xdr:colOff>
      <xdr:row>12</xdr:row>
      <xdr:rowOff>178782</xdr:rowOff>
    </xdr:from>
    <xdr:to>
      <xdr:col>1</xdr:col>
      <xdr:colOff>757236</xdr:colOff>
      <xdr:row>13</xdr:row>
      <xdr:rowOff>167958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9DFD6DF-4695-4C44-96F3-129B6AB552B2}"/>
            </a:ext>
          </a:extLst>
        </xdr:cNvPr>
        <xdr:cNvCxnSpPr/>
      </xdr:nvCxnSpPr>
      <xdr:spPr>
        <a:xfrm flipV="1">
          <a:off x="1991676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914399</xdr:colOff>
      <xdr:row>12</xdr:row>
      <xdr:rowOff>172750</xdr:rowOff>
    </xdr:from>
    <xdr:to>
      <xdr:col>1</xdr:col>
      <xdr:colOff>914399</xdr:colOff>
      <xdr:row>13</xdr:row>
      <xdr:rowOff>158751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C3BA2487-529E-4D17-9C5D-FD727480ACD2}"/>
            </a:ext>
          </a:extLst>
        </xdr:cNvPr>
        <xdr:cNvCxnSpPr/>
      </xdr:nvCxnSpPr>
      <xdr:spPr>
        <a:xfrm flipV="1">
          <a:off x="2146299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1090611</xdr:colOff>
      <xdr:row>12</xdr:row>
      <xdr:rowOff>172750</xdr:rowOff>
    </xdr:from>
    <xdr:to>
      <xdr:col>1</xdr:col>
      <xdr:colOff>1090611</xdr:colOff>
      <xdr:row>13</xdr:row>
      <xdr:rowOff>158751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0F1590E-1A70-42D0-8E41-FA2C6517FF4C}"/>
            </a:ext>
          </a:extLst>
        </xdr:cNvPr>
        <xdr:cNvCxnSpPr/>
      </xdr:nvCxnSpPr>
      <xdr:spPr>
        <a:xfrm flipV="1">
          <a:off x="2322511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</xdr:colOff>
      <xdr:row>12</xdr:row>
      <xdr:rowOff>178782</xdr:rowOff>
    </xdr:from>
    <xdr:to>
      <xdr:col>2</xdr:col>
      <xdr:colOff>33337</xdr:colOff>
      <xdr:row>13</xdr:row>
      <xdr:rowOff>167958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8F24BF5B-4C63-4110-8DA2-37F8B43F680F}"/>
            </a:ext>
          </a:extLst>
        </xdr:cNvPr>
        <xdr:cNvCxnSpPr/>
      </xdr:nvCxnSpPr>
      <xdr:spPr>
        <a:xfrm flipV="1">
          <a:off x="2502217" y="255622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209549</xdr:colOff>
      <xdr:row>12</xdr:row>
      <xdr:rowOff>172750</xdr:rowOff>
    </xdr:from>
    <xdr:to>
      <xdr:col>2</xdr:col>
      <xdr:colOff>209549</xdr:colOff>
      <xdr:row>13</xdr:row>
      <xdr:rowOff>158751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3916BB98-8A45-412E-87C4-227EA55810F1}"/>
            </a:ext>
          </a:extLst>
        </xdr:cNvPr>
        <xdr:cNvCxnSpPr/>
      </xdr:nvCxnSpPr>
      <xdr:spPr>
        <a:xfrm flipV="1">
          <a:off x="2673349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366712</xdr:colOff>
      <xdr:row>12</xdr:row>
      <xdr:rowOff>172750</xdr:rowOff>
    </xdr:from>
    <xdr:to>
      <xdr:col>2</xdr:col>
      <xdr:colOff>366712</xdr:colOff>
      <xdr:row>13</xdr:row>
      <xdr:rowOff>158751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BE3C868-9ED9-4321-B3BD-E2D3484EFFF1}"/>
            </a:ext>
          </a:extLst>
        </xdr:cNvPr>
        <xdr:cNvCxnSpPr/>
      </xdr:nvCxnSpPr>
      <xdr:spPr>
        <a:xfrm flipV="1">
          <a:off x="2830512" y="2382550"/>
          <a:ext cx="0" cy="170151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550544</xdr:colOff>
      <xdr:row>12</xdr:row>
      <xdr:rowOff>178782</xdr:rowOff>
    </xdr:from>
    <xdr:to>
      <xdr:col>2</xdr:col>
      <xdr:colOff>550544</xdr:colOff>
      <xdr:row>13</xdr:row>
      <xdr:rowOff>167958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FDC83022-2614-43FA-9BA6-E3C1AD00EAD5}"/>
            </a:ext>
          </a:extLst>
        </xdr:cNvPr>
        <xdr:cNvCxnSpPr/>
      </xdr:nvCxnSpPr>
      <xdr:spPr>
        <a:xfrm flipV="1">
          <a:off x="3019424" y="2373342"/>
          <a:ext cx="0" cy="172056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11</xdr:col>
      <xdr:colOff>0</xdr:colOff>
      <xdr:row>6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7A3441E4-2B4C-43AD-A9A4-1AD5F56CBB9F}"/>
            </a:ext>
          </a:extLst>
        </xdr:cNvPr>
        <xdr:cNvCxnSpPr/>
      </xdr:nvCxnSpPr>
      <xdr:spPr>
        <a:xfrm>
          <a:off x="6371492" y="1090246"/>
          <a:ext cx="3657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16</xdr:row>
      <xdr:rowOff>29308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2F5372B9-7075-46DA-BDF1-0C170DB974A6}"/>
            </a:ext>
          </a:extLst>
        </xdr:cNvPr>
        <xdr:cNvCxnSpPr/>
      </xdr:nvCxnSpPr>
      <xdr:spPr>
        <a:xfrm>
          <a:off x="6371492" y="1090246"/>
          <a:ext cx="0" cy="184638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0</xdr:colOff>
      <xdr:row>6</xdr:row>
      <xdr:rowOff>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D65A4C3-7378-4705-AEBE-456AB62D6277}"/>
            </a:ext>
          </a:extLst>
        </xdr:cNvPr>
        <xdr:cNvCxnSpPr/>
      </xdr:nvCxnSpPr>
      <xdr:spPr>
        <a:xfrm flipV="1">
          <a:off x="6981092" y="545123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</xdr:colOff>
      <xdr:row>2</xdr:row>
      <xdr:rowOff>181707</xdr:rowOff>
    </xdr:from>
    <xdr:to>
      <xdr:col>7</xdr:col>
      <xdr:colOff>5861</xdr:colOff>
      <xdr:row>6</xdr:row>
      <xdr:rowOff>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5731D29-A321-4C10-9F58-041BCC61C729}"/>
            </a:ext>
          </a:extLst>
        </xdr:cNvPr>
        <xdr:cNvCxnSpPr/>
      </xdr:nvCxnSpPr>
      <xdr:spPr>
        <a:xfrm flipV="1">
          <a:off x="7596553" y="545122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6</xdr:row>
      <xdr:rowOff>1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4C5B7CF-99D5-4779-BDDC-649ED45A30F8}"/>
            </a:ext>
          </a:extLst>
        </xdr:cNvPr>
        <xdr:cNvCxnSpPr/>
      </xdr:nvCxnSpPr>
      <xdr:spPr>
        <a:xfrm flipV="1">
          <a:off x="8200292" y="545123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0</xdr:colOff>
      <xdr:row>6</xdr:row>
      <xdr:rowOff>1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C28DA94-1890-4710-8D06-B88F22E2F3CB}"/>
            </a:ext>
          </a:extLst>
        </xdr:cNvPr>
        <xdr:cNvCxnSpPr/>
      </xdr:nvCxnSpPr>
      <xdr:spPr>
        <a:xfrm flipV="1">
          <a:off x="8809892" y="545123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6</xdr:row>
      <xdr:rowOff>1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DB66E112-56AC-4F58-8DCF-7805516934DD}"/>
            </a:ext>
          </a:extLst>
        </xdr:cNvPr>
        <xdr:cNvCxnSpPr/>
      </xdr:nvCxnSpPr>
      <xdr:spPr>
        <a:xfrm flipV="1">
          <a:off x="9419492" y="545123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603738</xdr:colOff>
      <xdr:row>2</xdr:row>
      <xdr:rowOff>181707</xdr:rowOff>
    </xdr:from>
    <xdr:to>
      <xdr:col>10</xdr:col>
      <xdr:colOff>603738</xdr:colOff>
      <xdr:row>6</xdr:row>
      <xdr:rowOff>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F9B994F3-3C1F-49B1-AA52-9DC4022539E5}"/>
            </a:ext>
          </a:extLst>
        </xdr:cNvPr>
        <xdr:cNvCxnSpPr/>
      </xdr:nvCxnSpPr>
      <xdr:spPr>
        <a:xfrm flipV="1">
          <a:off x="10023230" y="545122"/>
          <a:ext cx="0" cy="545124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228598</xdr:colOff>
      <xdr:row>16</xdr:row>
      <xdr:rowOff>23446</xdr:rowOff>
    </xdr:from>
    <xdr:to>
      <xdr:col>5</xdr:col>
      <xdr:colOff>392721</xdr:colOff>
      <xdr:row>17</xdr:row>
      <xdr:rowOff>99645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1F4BA59-36CA-48F6-9327-67508AF19F2A}"/>
            </a:ext>
          </a:extLst>
        </xdr:cNvPr>
        <xdr:cNvSpPr txBox="1"/>
      </xdr:nvSpPr>
      <xdr:spPr>
        <a:xfrm>
          <a:off x="4489936" y="2930769"/>
          <a:ext cx="773723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rgbClr val="FF0000"/>
              </a:solidFill>
            </a:rPr>
            <a:t>10 MM</a:t>
          </a:r>
        </a:p>
      </xdr:txBody>
    </xdr:sp>
    <xdr:clientData/>
  </xdr:twoCellAnchor>
  <xdr:twoCellAnchor>
    <xdr:from>
      <xdr:col>5</xdr:col>
      <xdr:colOff>304799</xdr:colOff>
      <xdr:row>1</xdr:row>
      <xdr:rowOff>152399</xdr:rowOff>
    </xdr:from>
    <xdr:to>
      <xdr:col>6</xdr:col>
      <xdr:colOff>304798</xdr:colOff>
      <xdr:row>3</xdr:row>
      <xdr:rowOff>46891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604625E-19DF-4199-99E9-505A597C9414}"/>
            </a:ext>
          </a:extLst>
        </xdr:cNvPr>
        <xdr:cNvSpPr txBox="1"/>
      </xdr:nvSpPr>
      <xdr:spPr>
        <a:xfrm>
          <a:off x="5175737" y="334107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6</xdr:col>
      <xdr:colOff>310659</xdr:colOff>
      <xdr:row>1</xdr:row>
      <xdr:rowOff>152398</xdr:rowOff>
    </xdr:from>
    <xdr:to>
      <xdr:col>7</xdr:col>
      <xdr:colOff>310658</xdr:colOff>
      <xdr:row>3</xdr:row>
      <xdr:rowOff>46890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9C0AB65-1590-4D89-AF46-FAC84E7DD609}"/>
            </a:ext>
          </a:extLst>
        </xdr:cNvPr>
        <xdr:cNvSpPr txBox="1"/>
      </xdr:nvSpPr>
      <xdr:spPr>
        <a:xfrm>
          <a:off x="5791197" y="334106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7</xdr:col>
      <xdr:colOff>310661</xdr:colOff>
      <xdr:row>1</xdr:row>
      <xdr:rowOff>146537</xdr:rowOff>
    </xdr:from>
    <xdr:to>
      <xdr:col>8</xdr:col>
      <xdr:colOff>310660</xdr:colOff>
      <xdr:row>3</xdr:row>
      <xdr:rowOff>41029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474FCE6-9777-4A7D-B591-DEF937DAB29A}"/>
            </a:ext>
          </a:extLst>
        </xdr:cNvPr>
        <xdr:cNvSpPr txBox="1"/>
      </xdr:nvSpPr>
      <xdr:spPr>
        <a:xfrm>
          <a:off x="6400799" y="328245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8</xdr:col>
      <xdr:colOff>304797</xdr:colOff>
      <xdr:row>1</xdr:row>
      <xdr:rowOff>146536</xdr:rowOff>
    </xdr:from>
    <xdr:to>
      <xdr:col>9</xdr:col>
      <xdr:colOff>304796</xdr:colOff>
      <xdr:row>3</xdr:row>
      <xdr:rowOff>41028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A54D1B24-C9DA-4A0E-96F1-8C0279A1F220}"/>
            </a:ext>
          </a:extLst>
        </xdr:cNvPr>
        <xdr:cNvSpPr txBox="1"/>
      </xdr:nvSpPr>
      <xdr:spPr>
        <a:xfrm>
          <a:off x="7004535" y="328244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9</xdr:col>
      <xdr:colOff>298940</xdr:colOff>
      <xdr:row>1</xdr:row>
      <xdr:rowOff>140676</xdr:rowOff>
    </xdr:from>
    <xdr:to>
      <xdr:col>10</xdr:col>
      <xdr:colOff>298939</xdr:colOff>
      <xdr:row>3</xdr:row>
      <xdr:rowOff>35168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2AFE351E-0F2E-4FEE-85BD-1BD6F6A5AE26}"/>
            </a:ext>
          </a:extLst>
        </xdr:cNvPr>
        <xdr:cNvSpPr txBox="1"/>
      </xdr:nvSpPr>
      <xdr:spPr>
        <a:xfrm>
          <a:off x="7608278" y="322384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10</xdr:col>
      <xdr:colOff>293076</xdr:colOff>
      <xdr:row>1</xdr:row>
      <xdr:rowOff>140675</xdr:rowOff>
    </xdr:from>
    <xdr:to>
      <xdr:col>11</xdr:col>
      <xdr:colOff>293075</xdr:colOff>
      <xdr:row>3</xdr:row>
      <xdr:rowOff>35167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325A25D5-64A4-4AC2-A07D-95D2CA751398}"/>
            </a:ext>
          </a:extLst>
        </xdr:cNvPr>
        <xdr:cNvSpPr txBox="1"/>
      </xdr:nvSpPr>
      <xdr:spPr>
        <a:xfrm>
          <a:off x="9712568" y="322383"/>
          <a:ext cx="609599" cy="257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11</xdr:col>
      <xdr:colOff>0</xdr:colOff>
      <xdr:row>6</xdr:row>
      <xdr:rowOff>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25DCBE97-C676-41AE-87DD-F8C0464882F7}"/>
            </a:ext>
          </a:extLst>
        </xdr:cNvPr>
        <xdr:cNvCxnSpPr/>
      </xdr:nvCxnSpPr>
      <xdr:spPr>
        <a:xfrm>
          <a:off x="5059680" y="1097280"/>
          <a:ext cx="3657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16</xdr:row>
      <xdr:rowOff>29308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D3C1AEE8-5188-47D9-97EF-7626E1F31930}"/>
            </a:ext>
          </a:extLst>
        </xdr:cNvPr>
        <xdr:cNvCxnSpPr/>
      </xdr:nvCxnSpPr>
      <xdr:spPr>
        <a:xfrm>
          <a:off x="5059680" y="1097280"/>
          <a:ext cx="0" cy="1858108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0</xdr:colOff>
      <xdr:row>6</xdr:row>
      <xdr:rowOff>1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846EB4C-DD53-4D6B-A048-BD2C390F9756}"/>
            </a:ext>
          </a:extLst>
        </xdr:cNvPr>
        <xdr:cNvCxnSpPr/>
      </xdr:nvCxnSpPr>
      <xdr:spPr>
        <a:xfrm flipV="1">
          <a:off x="56692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</xdr:colOff>
      <xdr:row>2</xdr:row>
      <xdr:rowOff>181707</xdr:rowOff>
    </xdr:from>
    <xdr:to>
      <xdr:col>7</xdr:col>
      <xdr:colOff>5861</xdr:colOff>
      <xdr:row>6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5B7115ED-DAA7-4F7E-BC03-52A57D3F4F57}"/>
            </a:ext>
          </a:extLst>
        </xdr:cNvPr>
        <xdr:cNvCxnSpPr/>
      </xdr:nvCxnSpPr>
      <xdr:spPr>
        <a:xfrm flipV="1">
          <a:off x="6284741" y="547467"/>
          <a:ext cx="0" cy="549813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6</xdr:row>
      <xdr:rowOff>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AC97125-6867-4A5E-8E3B-09397B14CC30}"/>
            </a:ext>
          </a:extLst>
        </xdr:cNvPr>
        <xdr:cNvCxnSpPr/>
      </xdr:nvCxnSpPr>
      <xdr:spPr>
        <a:xfrm flipV="1">
          <a:off x="68884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0</xdr:colOff>
      <xdr:row>6</xdr:row>
      <xdr:rowOff>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7EFA4D9-0916-4220-AA29-C37332A51CB7}"/>
            </a:ext>
          </a:extLst>
        </xdr:cNvPr>
        <xdr:cNvCxnSpPr/>
      </xdr:nvCxnSpPr>
      <xdr:spPr>
        <a:xfrm flipV="1">
          <a:off x="74980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6</xdr:row>
      <xdr:rowOff>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E05BD9D-0A63-46FA-92C1-3BFD5C9506E5}"/>
            </a:ext>
          </a:extLst>
        </xdr:cNvPr>
        <xdr:cNvCxnSpPr/>
      </xdr:nvCxnSpPr>
      <xdr:spPr>
        <a:xfrm flipV="1">
          <a:off x="81076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603738</xdr:colOff>
      <xdr:row>2</xdr:row>
      <xdr:rowOff>181707</xdr:rowOff>
    </xdr:from>
    <xdr:to>
      <xdr:col>10</xdr:col>
      <xdr:colOff>603738</xdr:colOff>
      <xdr:row>6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FC65D4C8-B58B-461A-B9C1-18C54850134D}"/>
            </a:ext>
          </a:extLst>
        </xdr:cNvPr>
        <xdr:cNvCxnSpPr/>
      </xdr:nvCxnSpPr>
      <xdr:spPr>
        <a:xfrm flipV="1">
          <a:off x="8711418" y="547467"/>
          <a:ext cx="0" cy="549813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228598</xdr:colOff>
      <xdr:row>16</xdr:row>
      <xdr:rowOff>23446</xdr:rowOff>
    </xdr:from>
    <xdr:to>
      <xdr:col>5</xdr:col>
      <xdr:colOff>392721</xdr:colOff>
      <xdr:row>17</xdr:row>
      <xdr:rowOff>99645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D296800-6E0C-45AA-AD01-EA12B926AF12}"/>
            </a:ext>
          </a:extLst>
        </xdr:cNvPr>
        <xdr:cNvSpPr txBox="1"/>
      </xdr:nvSpPr>
      <xdr:spPr>
        <a:xfrm>
          <a:off x="4678678" y="2949526"/>
          <a:ext cx="773723" cy="259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rgbClr val="FF0000"/>
              </a:solidFill>
            </a:rPr>
            <a:t>10 MM</a:t>
          </a:r>
        </a:p>
      </xdr:txBody>
    </xdr:sp>
    <xdr:clientData/>
  </xdr:twoCellAnchor>
  <xdr:twoCellAnchor>
    <xdr:from>
      <xdr:col>5</xdr:col>
      <xdr:colOff>304799</xdr:colOff>
      <xdr:row>1</xdr:row>
      <xdr:rowOff>152399</xdr:rowOff>
    </xdr:from>
    <xdr:to>
      <xdr:col>6</xdr:col>
      <xdr:colOff>304798</xdr:colOff>
      <xdr:row>3</xdr:row>
      <xdr:rowOff>46891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A223B27-E0E0-47C3-BB9E-351D79B2D571}"/>
            </a:ext>
          </a:extLst>
        </xdr:cNvPr>
        <xdr:cNvSpPr txBox="1"/>
      </xdr:nvSpPr>
      <xdr:spPr>
        <a:xfrm>
          <a:off x="5364479" y="335279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6</xdr:col>
      <xdr:colOff>310659</xdr:colOff>
      <xdr:row>1</xdr:row>
      <xdr:rowOff>152398</xdr:rowOff>
    </xdr:from>
    <xdr:to>
      <xdr:col>7</xdr:col>
      <xdr:colOff>310658</xdr:colOff>
      <xdr:row>3</xdr:row>
      <xdr:rowOff>46890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32276C55-6785-4600-8B2E-467B1504F48B}"/>
            </a:ext>
          </a:extLst>
        </xdr:cNvPr>
        <xdr:cNvSpPr txBox="1"/>
      </xdr:nvSpPr>
      <xdr:spPr>
        <a:xfrm>
          <a:off x="5979939" y="335278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7</xdr:col>
      <xdr:colOff>310661</xdr:colOff>
      <xdr:row>1</xdr:row>
      <xdr:rowOff>146537</xdr:rowOff>
    </xdr:from>
    <xdr:to>
      <xdr:col>8</xdr:col>
      <xdr:colOff>310660</xdr:colOff>
      <xdr:row>3</xdr:row>
      <xdr:rowOff>41029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3231536-E453-468E-8A51-1361884EA315}"/>
            </a:ext>
          </a:extLst>
        </xdr:cNvPr>
        <xdr:cNvSpPr txBox="1"/>
      </xdr:nvSpPr>
      <xdr:spPr>
        <a:xfrm>
          <a:off x="6589541" y="329417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8</xdr:col>
      <xdr:colOff>304797</xdr:colOff>
      <xdr:row>1</xdr:row>
      <xdr:rowOff>146536</xdr:rowOff>
    </xdr:from>
    <xdr:to>
      <xdr:col>9</xdr:col>
      <xdr:colOff>304796</xdr:colOff>
      <xdr:row>3</xdr:row>
      <xdr:rowOff>41028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B36F3C1-CADE-4D37-8451-2CEDDA1A1115}"/>
            </a:ext>
          </a:extLst>
        </xdr:cNvPr>
        <xdr:cNvSpPr txBox="1"/>
      </xdr:nvSpPr>
      <xdr:spPr>
        <a:xfrm>
          <a:off x="7193277" y="329416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9</xdr:col>
      <xdr:colOff>298940</xdr:colOff>
      <xdr:row>1</xdr:row>
      <xdr:rowOff>140676</xdr:rowOff>
    </xdr:from>
    <xdr:to>
      <xdr:col>10</xdr:col>
      <xdr:colOff>298939</xdr:colOff>
      <xdr:row>3</xdr:row>
      <xdr:rowOff>35168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021A53A-66B6-4015-AAF2-E290C2E071D2}"/>
            </a:ext>
          </a:extLst>
        </xdr:cNvPr>
        <xdr:cNvSpPr txBox="1"/>
      </xdr:nvSpPr>
      <xdr:spPr>
        <a:xfrm>
          <a:off x="7797020" y="323556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10</xdr:col>
      <xdr:colOff>293076</xdr:colOff>
      <xdr:row>1</xdr:row>
      <xdr:rowOff>140675</xdr:rowOff>
    </xdr:from>
    <xdr:to>
      <xdr:col>11</xdr:col>
      <xdr:colOff>293075</xdr:colOff>
      <xdr:row>3</xdr:row>
      <xdr:rowOff>35167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8576F9E8-1622-4858-B277-0E08C0DA83C7}"/>
            </a:ext>
          </a:extLst>
        </xdr:cNvPr>
        <xdr:cNvSpPr txBox="1"/>
      </xdr:nvSpPr>
      <xdr:spPr>
        <a:xfrm>
          <a:off x="8400756" y="323555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11</xdr:col>
      <xdr:colOff>0</xdr:colOff>
      <xdr:row>6</xdr:row>
      <xdr:rowOff>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9A7F95DA-3DBB-4DF1-9C71-CF931B4E81AC}"/>
            </a:ext>
          </a:extLst>
        </xdr:cNvPr>
        <xdr:cNvCxnSpPr/>
      </xdr:nvCxnSpPr>
      <xdr:spPr>
        <a:xfrm>
          <a:off x="5059680" y="1097280"/>
          <a:ext cx="3657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16</xdr:row>
      <xdr:rowOff>29308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95B802B0-A992-4B0D-B9EC-48E3E22180D4}"/>
            </a:ext>
          </a:extLst>
        </xdr:cNvPr>
        <xdr:cNvCxnSpPr/>
      </xdr:nvCxnSpPr>
      <xdr:spPr>
        <a:xfrm>
          <a:off x="5059680" y="1097280"/>
          <a:ext cx="0" cy="1858108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0</xdr:colOff>
      <xdr:row>6</xdr:row>
      <xdr:rowOff>1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702159EA-41AB-49E1-BE60-7FC07A36956C}"/>
            </a:ext>
          </a:extLst>
        </xdr:cNvPr>
        <xdr:cNvCxnSpPr/>
      </xdr:nvCxnSpPr>
      <xdr:spPr>
        <a:xfrm flipV="1">
          <a:off x="56692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</xdr:colOff>
      <xdr:row>2</xdr:row>
      <xdr:rowOff>181707</xdr:rowOff>
    </xdr:from>
    <xdr:to>
      <xdr:col>7</xdr:col>
      <xdr:colOff>5861</xdr:colOff>
      <xdr:row>6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9356D3D-90A8-4B82-8E4B-7783666EFEB8}"/>
            </a:ext>
          </a:extLst>
        </xdr:cNvPr>
        <xdr:cNvCxnSpPr/>
      </xdr:nvCxnSpPr>
      <xdr:spPr>
        <a:xfrm flipV="1">
          <a:off x="6284741" y="547467"/>
          <a:ext cx="0" cy="549813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6</xdr:row>
      <xdr:rowOff>1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DA777C69-D462-4319-A401-58F975484541}"/>
            </a:ext>
          </a:extLst>
        </xdr:cNvPr>
        <xdr:cNvCxnSpPr/>
      </xdr:nvCxnSpPr>
      <xdr:spPr>
        <a:xfrm flipV="1">
          <a:off x="68884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0</xdr:colOff>
      <xdr:row>6</xdr:row>
      <xdr:rowOff>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37DDC5B-F3D9-4B4F-B91F-89FCCDBA4503}"/>
            </a:ext>
          </a:extLst>
        </xdr:cNvPr>
        <xdr:cNvCxnSpPr/>
      </xdr:nvCxnSpPr>
      <xdr:spPr>
        <a:xfrm flipV="1">
          <a:off x="74980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6</xdr:row>
      <xdr:rowOff>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B9062AE-D65D-4F79-BC1F-21B4AFA6D541}"/>
            </a:ext>
          </a:extLst>
        </xdr:cNvPr>
        <xdr:cNvCxnSpPr/>
      </xdr:nvCxnSpPr>
      <xdr:spPr>
        <a:xfrm flipV="1">
          <a:off x="8107680" y="548640"/>
          <a:ext cx="0" cy="548641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603738</xdr:colOff>
      <xdr:row>2</xdr:row>
      <xdr:rowOff>181707</xdr:rowOff>
    </xdr:from>
    <xdr:to>
      <xdr:col>10</xdr:col>
      <xdr:colOff>603738</xdr:colOff>
      <xdr:row>6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31729F7E-D6E8-4747-98D2-93F717AADDF0}"/>
            </a:ext>
          </a:extLst>
        </xdr:cNvPr>
        <xdr:cNvCxnSpPr/>
      </xdr:nvCxnSpPr>
      <xdr:spPr>
        <a:xfrm flipV="1">
          <a:off x="8711418" y="547467"/>
          <a:ext cx="0" cy="549813"/>
        </a:xfrm>
        <a:prstGeom prst="line">
          <a:avLst/>
        </a:prstGeom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228598</xdr:colOff>
      <xdr:row>16</xdr:row>
      <xdr:rowOff>23446</xdr:rowOff>
    </xdr:from>
    <xdr:to>
      <xdr:col>5</xdr:col>
      <xdr:colOff>392721</xdr:colOff>
      <xdr:row>17</xdr:row>
      <xdr:rowOff>99645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6C2ACC4-DB4D-4E31-860A-2F5423071384}"/>
            </a:ext>
          </a:extLst>
        </xdr:cNvPr>
        <xdr:cNvSpPr txBox="1"/>
      </xdr:nvSpPr>
      <xdr:spPr>
        <a:xfrm>
          <a:off x="4678678" y="2949526"/>
          <a:ext cx="773723" cy="259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rgbClr val="FF0000"/>
              </a:solidFill>
            </a:rPr>
            <a:t>10 MM</a:t>
          </a:r>
        </a:p>
      </xdr:txBody>
    </xdr:sp>
    <xdr:clientData/>
  </xdr:twoCellAnchor>
  <xdr:twoCellAnchor>
    <xdr:from>
      <xdr:col>5</xdr:col>
      <xdr:colOff>304799</xdr:colOff>
      <xdr:row>1</xdr:row>
      <xdr:rowOff>152399</xdr:rowOff>
    </xdr:from>
    <xdr:to>
      <xdr:col>6</xdr:col>
      <xdr:colOff>304798</xdr:colOff>
      <xdr:row>3</xdr:row>
      <xdr:rowOff>46891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F2ABB88-BAB5-4EA2-9FFB-32B73C514F6C}"/>
            </a:ext>
          </a:extLst>
        </xdr:cNvPr>
        <xdr:cNvSpPr txBox="1"/>
      </xdr:nvSpPr>
      <xdr:spPr>
        <a:xfrm>
          <a:off x="5364479" y="335279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6</xdr:col>
      <xdr:colOff>310659</xdr:colOff>
      <xdr:row>1</xdr:row>
      <xdr:rowOff>152398</xdr:rowOff>
    </xdr:from>
    <xdr:to>
      <xdr:col>7</xdr:col>
      <xdr:colOff>310658</xdr:colOff>
      <xdr:row>3</xdr:row>
      <xdr:rowOff>46890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E58A8554-CDC0-47D4-9B3F-EB1334BB5A05}"/>
            </a:ext>
          </a:extLst>
        </xdr:cNvPr>
        <xdr:cNvSpPr txBox="1"/>
      </xdr:nvSpPr>
      <xdr:spPr>
        <a:xfrm>
          <a:off x="5979939" y="335278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7</xdr:col>
      <xdr:colOff>310661</xdr:colOff>
      <xdr:row>1</xdr:row>
      <xdr:rowOff>146537</xdr:rowOff>
    </xdr:from>
    <xdr:to>
      <xdr:col>8</xdr:col>
      <xdr:colOff>310660</xdr:colOff>
      <xdr:row>3</xdr:row>
      <xdr:rowOff>41029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5389B5A-A69D-4378-B9A1-785F99A6D5F8}"/>
            </a:ext>
          </a:extLst>
        </xdr:cNvPr>
        <xdr:cNvSpPr txBox="1"/>
      </xdr:nvSpPr>
      <xdr:spPr>
        <a:xfrm>
          <a:off x="6589541" y="329417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8</xdr:col>
      <xdr:colOff>304797</xdr:colOff>
      <xdr:row>1</xdr:row>
      <xdr:rowOff>146536</xdr:rowOff>
    </xdr:from>
    <xdr:to>
      <xdr:col>9</xdr:col>
      <xdr:colOff>304796</xdr:colOff>
      <xdr:row>3</xdr:row>
      <xdr:rowOff>41028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7697FF27-AA90-4B56-B4B6-01BE5BC8C3D9}"/>
            </a:ext>
          </a:extLst>
        </xdr:cNvPr>
        <xdr:cNvSpPr txBox="1"/>
      </xdr:nvSpPr>
      <xdr:spPr>
        <a:xfrm>
          <a:off x="7193277" y="329416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9</xdr:col>
      <xdr:colOff>298940</xdr:colOff>
      <xdr:row>1</xdr:row>
      <xdr:rowOff>140676</xdr:rowOff>
    </xdr:from>
    <xdr:to>
      <xdr:col>10</xdr:col>
      <xdr:colOff>298939</xdr:colOff>
      <xdr:row>3</xdr:row>
      <xdr:rowOff>35168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509875E8-6766-48E5-9E6E-3DF80169F9F8}"/>
            </a:ext>
          </a:extLst>
        </xdr:cNvPr>
        <xdr:cNvSpPr txBox="1"/>
      </xdr:nvSpPr>
      <xdr:spPr>
        <a:xfrm>
          <a:off x="7797020" y="323556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  <xdr:twoCellAnchor>
    <xdr:from>
      <xdr:col>10</xdr:col>
      <xdr:colOff>293076</xdr:colOff>
      <xdr:row>1</xdr:row>
      <xdr:rowOff>140675</xdr:rowOff>
    </xdr:from>
    <xdr:to>
      <xdr:col>11</xdr:col>
      <xdr:colOff>293075</xdr:colOff>
      <xdr:row>3</xdr:row>
      <xdr:rowOff>35167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A3BDEDE-C45F-4C68-B4C8-BC59F8E7340E}"/>
            </a:ext>
          </a:extLst>
        </xdr:cNvPr>
        <xdr:cNvSpPr txBox="1"/>
      </xdr:nvSpPr>
      <xdr:spPr>
        <a:xfrm>
          <a:off x="8400756" y="323555"/>
          <a:ext cx="609599" cy="260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solidFill>
                <a:srgbClr val="00B050"/>
              </a:solidFill>
            </a:rPr>
            <a:t>2,4 MM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stoedinheiro.com.br/saiba-quais-sao-as-taxa-de-juros-dos-financiamentos-de-veiculos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940D-A316-4D77-A3B9-D9548C3D6971}">
  <dimension ref="B1:O7"/>
  <sheetViews>
    <sheetView showGridLines="0" tabSelected="1" zoomScale="150" zoomScaleNormal="150" workbookViewId="0"/>
  </sheetViews>
  <sheetFormatPr defaultRowHeight="14.4" x14ac:dyDescent="0.3"/>
  <cols>
    <col min="1" max="1" width="1.109375" customWidth="1"/>
    <col min="2" max="2" width="12.33203125" style="13" customWidth="1"/>
    <col min="3" max="3" width="12.33203125" style="52" customWidth="1"/>
    <col min="4" max="4" width="1.109375" customWidth="1"/>
    <col min="5" max="5" width="12.33203125" style="13" customWidth="1"/>
    <col min="6" max="6" width="12.33203125" style="52" customWidth="1"/>
    <col min="7" max="7" width="1.109375" customWidth="1"/>
    <col min="8" max="8" width="12.33203125" style="13" customWidth="1"/>
    <col min="9" max="9" width="12.33203125" style="52" customWidth="1"/>
    <col min="10" max="10" width="1.109375" customWidth="1"/>
    <col min="11" max="12" width="12.33203125" style="13" customWidth="1"/>
    <col min="13" max="13" width="1.109375" customWidth="1"/>
    <col min="14" max="15" width="12.33203125" style="13" customWidth="1"/>
  </cols>
  <sheetData>
    <row r="1" spans="2:15" ht="6" customHeight="1" x14ac:dyDescent="0.3"/>
    <row r="2" spans="2:15" x14ac:dyDescent="0.3">
      <c r="B2" s="63" t="s">
        <v>2</v>
      </c>
      <c r="C2" s="64">
        <v>500</v>
      </c>
      <c r="E2" s="72" t="s">
        <v>2</v>
      </c>
      <c r="F2" s="73">
        <v>400</v>
      </c>
      <c r="H2" s="57" t="s">
        <v>2</v>
      </c>
      <c r="I2" s="58">
        <v>400</v>
      </c>
      <c r="K2" s="66" t="s">
        <v>2</v>
      </c>
      <c r="L2" s="67">
        <v>1100</v>
      </c>
      <c r="N2" s="69" t="s">
        <v>2</v>
      </c>
      <c r="O2" s="70">
        <v>20000</v>
      </c>
    </row>
    <row r="3" spans="2:15" x14ac:dyDescent="0.3">
      <c r="B3" s="63" t="s">
        <v>56</v>
      </c>
      <c r="C3" s="65">
        <v>0.45</v>
      </c>
      <c r="E3" s="72" t="s">
        <v>52</v>
      </c>
      <c r="F3" s="73">
        <v>300</v>
      </c>
      <c r="H3" s="57" t="s">
        <v>53</v>
      </c>
      <c r="I3" s="59">
        <v>0.4</v>
      </c>
      <c r="K3" s="66" t="s">
        <v>54</v>
      </c>
      <c r="L3" s="68">
        <v>0.15</v>
      </c>
      <c r="N3" s="69" t="s">
        <v>52</v>
      </c>
      <c r="O3" s="70">
        <v>22800</v>
      </c>
    </row>
    <row r="4" spans="2:15" ht="2.4" customHeight="1" x14ac:dyDescent="0.3">
      <c r="B4" s="53"/>
      <c r="C4" s="50"/>
      <c r="E4" s="53"/>
      <c r="F4" s="50"/>
      <c r="H4" s="53"/>
      <c r="I4" s="50"/>
      <c r="K4" s="53"/>
      <c r="L4" s="50"/>
      <c r="N4" s="53"/>
      <c r="O4" s="50"/>
    </row>
    <row r="5" spans="2:15" x14ac:dyDescent="0.3">
      <c r="B5" s="62" t="s">
        <v>52</v>
      </c>
      <c r="C5" s="54">
        <f>C2*C3</f>
        <v>225</v>
      </c>
      <c r="E5" s="71" t="s">
        <v>52</v>
      </c>
      <c r="F5" s="56">
        <f>F3/F2</f>
        <v>0.75</v>
      </c>
      <c r="H5" s="60" t="s">
        <v>52</v>
      </c>
      <c r="I5" s="54">
        <f>I2*(1-I3)</f>
        <v>240</v>
      </c>
      <c r="K5" s="55" t="s">
        <v>52</v>
      </c>
      <c r="L5" s="54">
        <f>L2*(1+L3)</f>
        <v>1265</v>
      </c>
      <c r="N5" s="61" t="s">
        <v>55</v>
      </c>
      <c r="O5" s="56">
        <f>O3/O2-100%</f>
        <v>0.1399999999999999</v>
      </c>
    </row>
    <row r="6" spans="2:15" x14ac:dyDescent="0.3">
      <c r="B6" s="49"/>
      <c r="C6" s="51"/>
      <c r="E6" s="49"/>
      <c r="F6" s="51"/>
      <c r="H6" s="49"/>
      <c r="I6" s="51"/>
    </row>
    <row r="7" spans="2:15" x14ac:dyDescent="0.3">
      <c r="I7" s="7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3066-0173-4979-AA54-8B12BB5A4665}">
  <dimension ref="A2:G21"/>
  <sheetViews>
    <sheetView showGridLines="0" zoomScale="120" zoomScaleNormal="120" workbookViewId="0"/>
  </sheetViews>
  <sheetFormatPr defaultRowHeight="14.4" x14ac:dyDescent="0.3"/>
  <cols>
    <col min="1" max="3" width="18.44140625" style="1" customWidth="1"/>
    <col min="5" max="7" width="18.44140625" customWidth="1"/>
  </cols>
  <sheetData>
    <row r="2" spans="1:7" x14ac:dyDescent="0.3">
      <c r="A2" s="17" t="s">
        <v>28</v>
      </c>
      <c r="B2" s="17"/>
      <c r="C2" s="17"/>
      <c r="E2" s="16" t="s">
        <v>29</v>
      </c>
      <c r="F2" s="16"/>
      <c r="G2" s="16"/>
    </row>
    <row r="3" spans="1:7" x14ac:dyDescent="0.3">
      <c r="A3" s="1" t="s">
        <v>0</v>
      </c>
      <c r="B3" s="2">
        <v>0.1</v>
      </c>
      <c r="C3" s="1" t="s">
        <v>1</v>
      </c>
      <c r="E3" s="1" t="s">
        <v>0</v>
      </c>
      <c r="F3" s="2">
        <v>0.1</v>
      </c>
      <c r="G3" s="1" t="s">
        <v>1</v>
      </c>
    </row>
    <row r="4" spans="1:7" x14ac:dyDescent="0.3">
      <c r="A4" s="1" t="s">
        <v>2</v>
      </c>
      <c r="B4" s="3">
        <v>10000</v>
      </c>
      <c r="E4" s="1" t="s">
        <v>2</v>
      </c>
      <c r="F4" s="3">
        <v>10000</v>
      </c>
      <c r="G4" s="1"/>
    </row>
    <row r="5" spans="1:7" x14ac:dyDescent="0.3">
      <c r="B5" s="3"/>
      <c r="E5" s="1"/>
      <c r="F5" s="4"/>
      <c r="G5" s="1"/>
    </row>
    <row r="6" spans="1:7" x14ac:dyDescent="0.3">
      <c r="B6" s="3"/>
      <c r="E6" s="1"/>
      <c r="F6" s="4"/>
      <c r="G6" s="1"/>
    </row>
    <row r="7" spans="1:7" x14ac:dyDescent="0.3">
      <c r="A7" s="1" t="s">
        <v>13</v>
      </c>
      <c r="B7" s="1" t="s">
        <v>11</v>
      </c>
      <c r="C7" s="11" t="s">
        <v>30</v>
      </c>
      <c r="E7" s="1" t="s">
        <v>13</v>
      </c>
      <c r="F7" s="1" t="s">
        <v>11</v>
      </c>
      <c r="G7" s="11" t="s">
        <v>30</v>
      </c>
    </row>
    <row r="8" spans="1:7" x14ac:dyDescent="0.3">
      <c r="A8" s="11">
        <v>0</v>
      </c>
      <c r="B8" s="12">
        <v>10000</v>
      </c>
      <c r="C8" s="3">
        <v>0</v>
      </c>
      <c r="D8" s="13"/>
      <c r="E8" s="11">
        <v>0</v>
      </c>
      <c r="F8" s="12">
        <v>10000</v>
      </c>
      <c r="G8" s="11">
        <v>0</v>
      </c>
    </row>
    <row r="9" spans="1:7" x14ac:dyDescent="0.3">
      <c r="A9" s="1">
        <v>1</v>
      </c>
      <c r="B9" s="3">
        <f>B8+C9</f>
        <v>11000</v>
      </c>
      <c r="C9" s="3">
        <f>B4*B3</f>
        <v>1000</v>
      </c>
      <c r="E9" s="1">
        <v>1</v>
      </c>
      <c r="F9" s="3">
        <f>F8+G9</f>
        <v>11000</v>
      </c>
      <c r="G9" s="3">
        <f>F3*F8</f>
        <v>1000</v>
      </c>
    </row>
    <row r="10" spans="1:7" x14ac:dyDescent="0.3">
      <c r="A10" s="1">
        <v>2</v>
      </c>
      <c r="B10" s="3">
        <f>B9+C10</f>
        <v>12000</v>
      </c>
      <c r="C10" s="3">
        <f>B3*B4</f>
        <v>1000</v>
      </c>
      <c r="E10" s="1">
        <v>2</v>
      </c>
      <c r="F10" s="3">
        <f>G10+F9</f>
        <v>12100</v>
      </c>
      <c r="G10" s="3">
        <f>F3*F9</f>
        <v>1100</v>
      </c>
    </row>
    <row r="11" spans="1:7" x14ac:dyDescent="0.3">
      <c r="A11" s="1">
        <v>3</v>
      </c>
      <c r="B11" s="3">
        <f t="shared" ref="B11:B18" si="0">B10+C11</f>
        <v>13000</v>
      </c>
      <c r="C11" s="3">
        <f>$B$3*$B$4</f>
        <v>1000</v>
      </c>
      <c r="E11" s="1">
        <v>3</v>
      </c>
      <c r="F11" s="3">
        <f>G11+F10</f>
        <v>13310</v>
      </c>
      <c r="G11" s="3">
        <f>$F$3*F10</f>
        <v>1210</v>
      </c>
    </row>
    <row r="12" spans="1:7" x14ac:dyDescent="0.3">
      <c r="A12" s="1">
        <v>4</v>
      </c>
      <c r="B12" s="3">
        <f t="shared" si="0"/>
        <v>14000</v>
      </c>
      <c r="C12" s="3">
        <f t="shared" ref="C12:C18" si="1">$B$3*$B$4</f>
        <v>1000</v>
      </c>
      <c r="E12" s="1">
        <v>4</v>
      </c>
      <c r="F12" s="3">
        <f t="shared" ref="F12:F18" si="2">G12+F11</f>
        <v>14641</v>
      </c>
      <c r="G12" s="3">
        <f t="shared" ref="G12:G18" si="3">$F$3*F11</f>
        <v>1331</v>
      </c>
    </row>
    <row r="13" spans="1:7" x14ac:dyDescent="0.3">
      <c r="A13" s="1">
        <v>5</v>
      </c>
      <c r="B13" s="3">
        <f t="shared" si="0"/>
        <v>15000</v>
      </c>
      <c r="C13" s="3">
        <f t="shared" si="1"/>
        <v>1000</v>
      </c>
      <c r="E13" s="1">
        <v>5</v>
      </c>
      <c r="F13" s="3">
        <f t="shared" si="2"/>
        <v>16105.1</v>
      </c>
      <c r="G13" s="3">
        <f t="shared" si="3"/>
        <v>1464.1000000000001</v>
      </c>
    </row>
    <row r="14" spans="1:7" x14ac:dyDescent="0.3">
      <c r="A14" s="1">
        <v>6</v>
      </c>
      <c r="B14" s="3">
        <f t="shared" si="0"/>
        <v>16000</v>
      </c>
      <c r="C14" s="3">
        <f t="shared" si="1"/>
        <v>1000</v>
      </c>
      <c r="E14" s="1">
        <v>6</v>
      </c>
      <c r="F14" s="3">
        <f t="shared" si="2"/>
        <v>17715.61</v>
      </c>
      <c r="G14" s="3">
        <f t="shared" si="3"/>
        <v>1610.5100000000002</v>
      </c>
    </row>
    <row r="15" spans="1:7" x14ac:dyDescent="0.3">
      <c r="A15" s="1">
        <v>7</v>
      </c>
      <c r="B15" s="3">
        <f t="shared" si="0"/>
        <v>17000</v>
      </c>
      <c r="C15" s="3">
        <f t="shared" si="1"/>
        <v>1000</v>
      </c>
      <c r="E15" s="1">
        <v>7</v>
      </c>
      <c r="F15" s="3">
        <f t="shared" si="2"/>
        <v>19487.171000000002</v>
      </c>
      <c r="G15" s="3">
        <f t="shared" si="3"/>
        <v>1771.5610000000001</v>
      </c>
    </row>
    <row r="16" spans="1:7" x14ac:dyDescent="0.3">
      <c r="A16" s="1">
        <v>8</v>
      </c>
      <c r="B16" s="3">
        <f t="shared" si="0"/>
        <v>18000</v>
      </c>
      <c r="C16" s="3">
        <f t="shared" si="1"/>
        <v>1000</v>
      </c>
      <c r="E16" s="1">
        <v>8</v>
      </c>
      <c r="F16" s="3">
        <f t="shared" si="2"/>
        <v>21435.888100000004</v>
      </c>
      <c r="G16" s="3">
        <f t="shared" si="3"/>
        <v>1948.7171000000003</v>
      </c>
    </row>
    <row r="17" spans="1:7" x14ac:dyDescent="0.3">
      <c r="A17" s="1">
        <v>9</v>
      </c>
      <c r="B17" s="3">
        <f t="shared" si="0"/>
        <v>19000</v>
      </c>
      <c r="C17" s="3">
        <f t="shared" si="1"/>
        <v>1000</v>
      </c>
      <c r="E17" s="1">
        <v>9</v>
      </c>
      <c r="F17" s="3">
        <f t="shared" si="2"/>
        <v>23579.476910000005</v>
      </c>
      <c r="G17" s="3">
        <f t="shared" si="3"/>
        <v>2143.5888100000006</v>
      </c>
    </row>
    <row r="18" spans="1:7" x14ac:dyDescent="0.3">
      <c r="A18" s="18">
        <v>10</v>
      </c>
      <c r="B18" s="19">
        <f t="shared" si="0"/>
        <v>20000</v>
      </c>
      <c r="C18" s="19">
        <f t="shared" si="1"/>
        <v>1000</v>
      </c>
      <c r="E18" s="14">
        <v>10</v>
      </c>
      <c r="F18" s="15">
        <f t="shared" si="2"/>
        <v>25937.424601000006</v>
      </c>
      <c r="G18" s="15">
        <f t="shared" si="3"/>
        <v>2357.9476910000008</v>
      </c>
    </row>
    <row r="20" spans="1:7" x14ac:dyDescent="0.3">
      <c r="A20" s="1" t="s">
        <v>9</v>
      </c>
      <c r="B20" s="8">
        <f>B18/B8-1</f>
        <v>1</v>
      </c>
      <c r="E20" s="1" t="s">
        <v>9</v>
      </c>
      <c r="F20" s="8">
        <f>F18/F8-1</f>
        <v>1.5937424601000005</v>
      </c>
    </row>
    <row r="21" spans="1:7" x14ac:dyDescent="0.3">
      <c r="A21" s="1" t="s">
        <v>10</v>
      </c>
      <c r="B21" s="3">
        <f>B18-B8</f>
        <v>10000</v>
      </c>
      <c r="E21" s="1" t="s">
        <v>10</v>
      </c>
      <c r="F21" s="3">
        <f>F18-F8</f>
        <v>15937.424601000006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AFE7-08BD-4B42-B850-689F95FEAFD0}">
  <dimension ref="A2:G18"/>
  <sheetViews>
    <sheetView showGridLines="0" zoomScale="130" zoomScaleNormal="130" workbookViewId="0"/>
  </sheetViews>
  <sheetFormatPr defaultRowHeight="14.4" x14ac:dyDescent="0.3"/>
  <cols>
    <col min="1" max="3" width="18.44140625" customWidth="1"/>
    <col min="4" max="6" width="13.77734375" style="9" customWidth="1"/>
  </cols>
  <sheetData>
    <row r="2" spans="1:7" x14ac:dyDescent="0.3">
      <c r="A2" s="16" t="s">
        <v>29</v>
      </c>
      <c r="B2" s="16"/>
      <c r="C2" s="16"/>
    </row>
    <row r="3" spans="1:7" x14ac:dyDescent="0.3">
      <c r="A3" s="1" t="s">
        <v>0</v>
      </c>
      <c r="B3" s="10">
        <v>0.1</v>
      </c>
      <c r="C3" s="1" t="s">
        <v>1</v>
      </c>
    </row>
    <row r="4" spans="1:7" x14ac:dyDescent="0.3">
      <c r="A4" s="1" t="s">
        <v>2</v>
      </c>
      <c r="B4" s="3">
        <v>10000</v>
      </c>
      <c r="C4" s="1"/>
    </row>
    <row r="5" spans="1:7" x14ac:dyDescent="0.3">
      <c r="A5" s="1"/>
      <c r="B5" s="4"/>
      <c r="C5" s="1"/>
    </row>
    <row r="6" spans="1:7" x14ac:dyDescent="0.3">
      <c r="A6" s="1"/>
      <c r="B6" s="4"/>
      <c r="C6" s="1"/>
    </row>
    <row r="7" spans="1:7" x14ac:dyDescent="0.3">
      <c r="A7" s="1" t="s">
        <v>13</v>
      </c>
      <c r="B7" s="1" t="s">
        <v>11</v>
      </c>
      <c r="C7" s="11" t="s">
        <v>30</v>
      </c>
      <c r="E7" s="7" t="s">
        <v>4</v>
      </c>
      <c r="F7" s="5">
        <v>-25000</v>
      </c>
      <c r="G7" s="1"/>
    </row>
    <row r="8" spans="1:7" x14ac:dyDescent="0.3">
      <c r="A8" s="11">
        <v>0</v>
      </c>
      <c r="B8" s="12">
        <f>B4</f>
        <v>10000</v>
      </c>
      <c r="C8" s="11">
        <v>0</v>
      </c>
      <c r="E8" s="7" t="s">
        <v>5</v>
      </c>
      <c r="F8" s="6">
        <v>0.06</v>
      </c>
      <c r="G8" s="1" t="s">
        <v>1</v>
      </c>
    </row>
    <row r="9" spans="1:7" x14ac:dyDescent="0.3">
      <c r="A9" s="1">
        <v>1</v>
      </c>
      <c r="B9" s="3">
        <f>B8+B8*B3</f>
        <v>11000</v>
      </c>
      <c r="C9" s="3">
        <f>B9-B8</f>
        <v>1000</v>
      </c>
      <c r="E9" s="7" t="s">
        <v>8</v>
      </c>
      <c r="F9" s="7">
        <v>5</v>
      </c>
      <c r="G9" s="1" t="s">
        <v>7</v>
      </c>
    </row>
    <row r="10" spans="1:7" x14ac:dyDescent="0.3">
      <c r="A10" s="1">
        <v>2</v>
      </c>
      <c r="B10" s="3">
        <f>B9+B9*$B$3</f>
        <v>12100</v>
      </c>
      <c r="C10" s="3">
        <f t="shared" ref="C10:C18" si="0">B10-B9</f>
        <v>1100</v>
      </c>
      <c r="E10" s="20" t="s">
        <v>6</v>
      </c>
      <c r="F10" s="21">
        <f>FV(F8,F9,0,F7)</f>
        <v>33455.639440000014</v>
      </c>
      <c r="G10" s="1"/>
    </row>
    <row r="11" spans="1:7" x14ac:dyDescent="0.3">
      <c r="A11" s="1">
        <v>3</v>
      </c>
      <c r="B11" s="3">
        <f t="shared" ref="B11:B18" si="1">B10+B10*$B$3</f>
        <v>13310</v>
      </c>
      <c r="C11" s="3">
        <f t="shared" si="0"/>
        <v>1210</v>
      </c>
      <c r="G11" s="1"/>
    </row>
    <row r="12" spans="1:7" x14ac:dyDescent="0.3">
      <c r="A12" s="1">
        <v>4</v>
      </c>
      <c r="B12" s="3">
        <f t="shared" si="1"/>
        <v>14641</v>
      </c>
      <c r="C12" s="3">
        <f t="shared" si="0"/>
        <v>1331</v>
      </c>
    </row>
    <row r="13" spans="1:7" x14ac:dyDescent="0.3">
      <c r="A13" s="1">
        <v>5</v>
      </c>
      <c r="B13" s="3">
        <f t="shared" si="1"/>
        <v>16105.1</v>
      </c>
      <c r="C13" s="3">
        <f t="shared" si="0"/>
        <v>1464.1000000000004</v>
      </c>
    </row>
    <row r="14" spans="1:7" x14ac:dyDescent="0.3">
      <c r="A14" s="1">
        <v>6</v>
      </c>
      <c r="B14" s="3">
        <f t="shared" si="1"/>
        <v>17715.61</v>
      </c>
      <c r="C14" s="3">
        <f t="shared" si="0"/>
        <v>1610.5100000000002</v>
      </c>
    </row>
    <row r="15" spans="1:7" x14ac:dyDescent="0.3">
      <c r="A15" s="1">
        <v>7</v>
      </c>
      <c r="B15" s="3">
        <f t="shared" si="1"/>
        <v>19487.171000000002</v>
      </c>
      <c r="C15" s="3">
        <f t="shared" si="0"/>
        <v>1771.5610000000015</v>
      </c>
    </row>
    <row r="16" spans="1:7" x14ac:dyDescent="0.3">
      <c r="A16" s="1">
        <v>8</v>
      </c>
      <c r="B16" s="3">
        <f t="shared" si="1"/>
        <v>21435.888100000004</v>
      </c>
      <c r="C16" s="3">
        <f t="shared" si="0"/>
        <v>1948.7171000000017</v>
      </c>
    </row>
    <row r="17" spans="1:3" x14ac:dyDescent="0.3">
      <c r="A17" s="1">
        <v>9</v>
      </c>
      <c r="B17" s="3">
        <f t="shared" si="1"/>
        <v>23579.476910000005</v>
      </c>
      <c r="C17" s="3">
        <f t="shared" si="0"/>
        <v>2143.5888100000011</v>
      </c>
    </row>
    <row r="18" spans="1:3" x14ac:dyDescent="0.3">
      <c r="A18" s="14">
        <v>10</v>
      </c>
      <c r="B18" s="15">
        <f t="shared" si="1"/>
        <v>25937.424601000006</v>
      </c>
      <c r="C18" s="15">
        <f t="shared" si="0"/>
        <v>2357.9476910000012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EF2-C5A7-4A0D-A29A-71C271333159}">
  <dimension ref="A2:G18"/>
  <sheetViews>
    <sheetView showGridLines="0" zoomScale="130" zoomScaleNormal="130" workbookViewId="0"/>
  </sheetViews>
  <sheetFormatPr defaultRowHeight="14.4" x14ac:dyDescent="0.3"/>
  <cols>
    <col min="1" max="3" width="18.44140625" customWidth="1"/>
    <col min="4" max="6" width="13.77734375" style="9" customWidth="1"/>
  </cols>
  <sheetData>
    <row r="2" spans="1:7" x14ac:dyDescent="0.3">
      <c r="A2" s="16" t="s">
        <v>29</v>
      </c>
      <c r="B2" s="16"/>
      <c r="C2" s="16"/>
    </row>
    <row r="3" spans="1:7" x14ac:dyDescent="0.3">
      <c r="A3" s="1" t="s">
        <v>0</v>
      </c>
      <c r="B3" s="10">
        <v>7.0000000000000007E-2</v>
      </c>
      <c r="C3" s="1" t="s">
        <v>1</v>
      </c>
    </row>
    <row r="4" spans="1:7" x14ac:dyDescent="0.3">
      <c r="A4" s="1" t="s">
        <v>2</v>
      </c>
      <c r="B4" s="3">
        <v>100000</v>
      </c>
      <c r="C4" s="1"/>
    </row>
    <row r="5" spans="1:7" x14ac:dyDescent="0.3">
      <c r="A5" s="1" t="s">
        <v>12</v>
      </c>
      <c r="B5" s="4">
        <v>1000000</v>
      </c>
      <c r="C5" s="1"/>
    </row>
    <row r="6" spans="1:7" x14ac:dyDescent="0.3">
      <c r="A6" s="1"/>
      <c r="B6" s="4"/>
      <c r="C6" s="1"/>
    </row>
    <row r="7" spans="1:7" x14ac:dyDescent="0.3">
      <c r="A7" s="7" t="s">
        <v>4</v>
      </c>
      <c r="B7" s="5">
        <f>-B4</f>
        <v>-100000</v>
      </c>
      <c r="C7" s="9"/>
      <c r="G7" s="1"/>
    </row>
    <row r="8" spans="1:7" x14ac:dyDescent="0.3">
      <c r="A8" s="7" t="s">
        <v>6</v>
      </c>
      <c r="B8" s="5">
        <f>B5</f>
        <v>1000000</v>
      </c>
      <c r="C8" s="9"/>
      <c r="G8" s="1"/>
    </row>
    <row r="9" spans="1:7" x14ac:dyDescent="0.3">
      <c r="A9" s="7" t="s">
        <v>5</v>
      </c>
      <c r="B9" s="23">
        <f>B3</f>
        <v>7.0000000000000007E-2</v>
      </c>
      <c r="C9" s="1" t="s">
        <v>1</v>
      </c>
      <c r="G9" s="1"/>
    </row>
    <row r="10" spans="1:7" x14ac:dyDescent="0.3">
      <c r="A10" s="20" t="s">
        <v>8</v>
      </c>
      <c r="B10" s="24">
        <f>NPER(B9,0,B7,B8)</f>
        <v>34.032383810994808</v>
      </c>
      <c r="C10" s="1" t="s">
        <v>7</v>
      </c>
      <c r="G10" s="1"/>
    </row>
    <row r="11" spans="1:7" x14ac:dyDescent="0.3">
      <c r="A11" s="9"/>
      <c r="B11" s="9"/>
      <c r="C11" s="9"/>
      <c r="G11" s="1"/>
    </row>
    <row r="12" spans="1:7" x14ac:dyDescent="0.3">
      <c r="A12" s="9"/>
      <c r="B12" s="9"/>
      <c r="C12" s="9"/>
    </row>
    <row r="13" spans="1:7" x14ac:dyDescent="0.3">
      <c r="A13" s="9"/>
      <c r="B13" s="9"/>
      <c r="C13" s="9"/>
    </row>
    <row r="14" spans="1:7" x14ac:dyDescent="0.3">
      <c r="A14" s="9"/>
      <c r="B14" s="9"/>
      <c r="C14" s="9"/>
    </row>
    <row r="15" spans="1:7" x14ac:dyDescent="0.3">
      <c r="A15" s="9"/>
      <c r="B15" s="9"/>
      <c r="C15" s="9"/>
    </row>
    <row r="16" spans="1:7" x14ac:dyDescent="0.3">
      <c r="A16" s="9"/>
      <c r="B16" s="9"/>
      <c r="C16" s="9"/>
    </row>
    <row r="17" spans="1:3" x14ac:dyDescent="0.3">
      <c r="A17" s="9"/>
      <c r="B17" s="9"/>
      <c r="C17" s="9"/>
    </row>
    <row r="18" spans="1:3" x14ac:dyDescent="0.3">
      <c r="A18" s="9"/>
      <c r="B18" s="9"/>
      <c r="C18" s="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6243-D068-4130-AE4B-73AE6316C0F3}">
  <dimension ref="A2:F17"/>
  <sheetViews>
    <sheetView showGridLines="0" zoomScale="130" zoomScaleNormal="130" workbookViewId="0"/>
  </sheetViews>
  <sheetFormatPr defaultRowHeight="14.4" x14ac:dyDescent="0.3"/>
  <cols>
    <col min="1" max="3" width="18" customWidth="1"/>
    <col min="4" max="6" width="13.77734375" customWidth="1"/>
  </cols>
  <sheetData>
    <row r="2" spans="1:6" x14ac:dyDescent="0.3">
      <c r="A2" s="16" t="s">
        <v>29</v>
      </c>
      <c r="B2" s="16"/>
      <c r="C2" s="16"/>
      <c r="D2" s="9"/>
      <c r="E2" s="9"/>
      <c r="F2" s="9"/>
    </row>
    <row r="3" spans="1:6" x14ac:dyDescent="0.3">
      <c r="A3" s="1" t="s">
        <v>2</v>
      </c>
      <c r="B3" s="3">
        <v>10000</v>
      </c>
      <c r="C3" s="1"/>
      <c r="D3" s="9"/>
      <c r="E3" s="9"/>
      <c r="F3" s="9"/>
    </row>
    <row r="4" spans="1:6" x14ac:dyDescent="0.3">
      <c r="A4" t="s">
        <v>12</v>
      </c>
      <c r="B4" s="3">
        <v>20000</v>
      </c>
      <c r="C4" s="11"/>
    </row>
    <row r="5" spans="1:6" x14ac:dyDescent="0.3">
      <c r="A5" s="1"/>
      <c r="B5" s="1"/>
      <c r="C5" s="11"/>
    </row>
    <row r="6" spans="1:6" x14ac:dyDescent="0.3">
      <c r="A6" s="1" t="s">
        <v>13</v>
      </c>
      <c r="B6" s="1" t="s">
        <v>11</v>
      </c>
      <c r="C6" s="11"/>
    </row>
    <row r="7" spans="1:6" x14ac:dyDescent="0.3">
      <c r="A7" s="14">
        <v>0</v>
      </c>
      <c r="B7" s="15">
        <v>10000</v>
      </c>
      <c r="C7" s="1"/>
      <c r="D7" s="7" t="s">
        <v>4</v>
      </c>
      <c r="E7" s="5">
        <f>-B3</f>
        <v>-10000</v>
      </c>
      <c r="F7" s="1"/>
    </row>
    <row r="8" spans="1:6" x14ac:dyDescent="0.3">
      <c r="A8" s="1">
        <v>1</v>
      </c>
      <c r="B8" s="3"/>
      <c r="C8" s="1"/>
      <c r="D8" s="7" t="s">
        <v>6</v>
      </c>
      <c r="E8" s="5">
        <f>B4</f>
        <v>20000</v>
      </c>
      <c r="F8" s="1"/>
    </row>
    <row r="9" spans="1:6" x14ac:dyDescent="0.3">
      <c r="A9" s="1">
        <v>2</v>
      </c>
      <c r="B9" s="3"/>
      <c r="C9" s="1"/>
      <c r="D9" s="7" t="s">
        <v>8</v>
      </c>
      <c r="E9" s="7">
        <v>12</v>
      </c>
      <c r="F9" s="1" t="s">
        <v>31</v>
      </c>
    </row>
    <row r="10" spans="1:6" x14ac:dyDescent="0.3">
      <c r="A10" s="1">
        <v>3</v>
      </c>
      <c r="B10" s="3"/>
      <c r="C10" s="1"/>
      <c r="D10" s="20" t="s">
        <v>5</v>
      </c>
      <c r="E10" s="22">
        <f>RATE(E9,0,E7,E8)</f>
        <v>5.9463094359295553E-2</v>
      </c>
      <c r="F10" s="1" t="s">
        <v>3</v>
      </c>
    </row>
    <row r="11" spans="1:6" x14ac:dyDescent="0.3">
      <c r="A11" s="1">
        <v>4</v>
      </c>
      <c r="B11" s="3"/>
      <c r="C11" s="1"/>
      <c r="F11" s="9"/>
    </row>
    <row r="12" spans="1:6" x14ac:dyDescent="0.3">
      <c r="A12" s="1">
        <v>5</v>
      </c>
      <c r="B12" s="3"/>
      <c r="C12" s="1"/>
      <c r="D12" s="9"/>
      <c r="E12" s="9"/>
      <c r="F12" s="9"/>
    </row>
    <row r="13" spans="1:6" x14ac:dyDescent="0.3">
      <c r="A13" s="1">
        <v>6</v>
      </c>
      <c r="B13" s="3"/>
      <c r="C13" s="1"/>
      <c r="D13" s="9" t="s">
        <v>4</v>
      </c>
      <c r="E13" s="9"/>
      <c r="F13" s="9"/>
    </row>
    <row r="14" spans="1:6" x14ac:dyDescent="0.3">
      <c r="A14" s="1">
        <v>7</v>
      </c>
      <c r="B14" s="3"/>
      <c r="C14" s="1"/>
      <c r="D14" s="9" t="s">
        <v>6</v>
      </c>
      <c r="E14" s="9"/>
      <c r="F14" s="9"/>
    </row>
    <row r="15" spans="1:6" x14ac:dyDescent="0.3">
      <c r="A15" s="1">
        <v>8</v>
      </c>
      <c r="B15" s="3"/>
      <c r="C15" s="1"/>
      <c r="D15" s="9" t="s">
        <v>5</v>
      </c>
      <c r="E15" s="9"/>
      <c r="F15" s="9"/>
    </row>
    <row r="16" spans="1:6" x14ac:dyDescent="0.3">
      <c r="A16" s="1">
        <v>9</v>
      </c>
      <c r="B16" s="3"/>
      <c r="C16" s="1"/>
      <c r="D16" s="9" t="s">
        <v>8</v>
      </c>
      <c r="E16" s="9"/>
      <c r="F16" s="9"/>
    </row>
    <row r="17" spans="1:6" x14ac:dyDescent="0.3">
      <c r="A17" s="14">
        <v>10</v>
      </c>
      <c r="B17" s="15">
        <f>B4</f>
        <v>20000</v>
      </c>
      <c r="C17" s="1"/>
      <c r="D17" s="9"/>
      <c r="E17" s="9"/>
      <c r="F17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E70B-71DF-4EAE-AC4B-E1BEC4873C3A}">
  <dimension ref="A2:F17"/>
  <sheetViews>
    <sheetView showGridLines="0" zoomScale="130" zoomScaleNormal="130" workbookViewId="0"/>
  </sheetViews>
  <sheetFormatPr defaultRowHeight="14.4" x14ac:dyDescent="0.3"/>
  <cols>
    <col min="1" max="3" width="18" customWidth="1"/>
    <col min="4" max="6" width="13.77734375" customWidth="1"/>
  </cols>
  <sheetData>
    <row r="2" spans="1:6" x14ac:dyDescent="0.3">
      <c r="A2" s="16" t="s">
        <v>29</v>
      </c>
      <c r="B2" s="16"/>
      <c r="C2" s="16"/>
      <c r="D2" s="9"/>
      <c r="E2" s="9"/>
      <c r="F2" s="9"/>
    </row>
    <row r="3" spans="1:6" x14ac:dyDescent="0.3">
      <c r="A3" s="1" t="s">
        <v>2</v>
      </c>
      <c r="B3" s="3">
        <v>10000</v>
      </c>
      <c r="C3" s="1"/>
      <c r="D3" s="9"/>
      <c r="E3" s="9"/>
      <c r="F3" s="9"/>
    </row>
    <row r="4" spans="1:6" x14ac:dyDescent="0.3">
      <c r="A4" t="s">
        <v>12</v>
      </c>
      <c r="B4" s="3">
        <v>25000</v>
      </c>
      <c r="C4" s="11"/>
    </row>
    <row r="5" spans="1:6" x14ac:dyDescent="0.3">
      <c r="A5" s="1"/>
      <c r="B5" s="1"/>
      <c r="C5" s="11"/>
    </row>
    <row r="6" spans="1:6" x14ac:dyDescent="0.3">
      <c r="A6" s="1" t="s">
        <v>13</v>
      </c>
      <c r="B6" s="1" t="s">
        <v>11</v>
      </c>
      <c r="C6" s="11"/>
    </row>
    <row r="7" spans="1:6" x14ac:dyDescent="0.3">
      <c r="A7" s="14">
        <v>0</v>
      </c>
      <c r="B7" s="15">
        <v>10000</v>
      </c>
      <c r="C7" s="1"/>
      <c r="D7" s="7" t="s">
        <v>4</v>
      </c>
      <c r="E7" s="5">
        <f>-B3</f>
        <v>-10000</v>
      </c>
      <c r="F7" s="1"/>
    </row>
    <row r="8" spans="1:6" x14ac:dyDescent="0.3">
      <c r="A8" s="1">
        <v>1</v>
      </c>
      <c r="B8" s="3">
        <f>B7+B7*E10</f>
        <v>10959.582263852211</v>
      </c>
      <c r="C8" s="3">
        <f>-FV(E10,1,0,B7)</f>
        <v>10959.582263852211</v>
      </c>
      <c r="D8" s="7" t="s">
        <v>6</v>
      </c>
      <c r="E8" s="5">
        <f>B4</f>
        <v>25000</v>
      </c>
      <c r="F8" s="1"/>
    </row>
    <row r="9" spans="1:6" x14ac:dyDescent="0.3">
      <c r="A9" s="1">
        <v>2</v>
      </c>
      <c r="B9" s="3">
        <f>B8+B8*E10</f>
        <v>12011.244339814397</v>
      </c>
      <c r="C9" s="3">
        <f>-FV($E$10,1,0,B8)</f>
        <v>12011.244339814397</v>
      </c>
      <c r="D9" s="7" t="s">
        <v>8</v>
      </c>
      <c r="E9" s="7">
        <v>10</v>
      </c>
      <c r="F9" s="1" t="s">
        <v>7</v>
      </c>
    </row>
    <row r="10" spans="1:6" x14ac:dyDescent="0.3">
      <c r="A10" s="1">
        <v>3</v>
      </c>
      <c r="B10" s="3">
        <f>B9+B9*E10</f>
        <v>13163.822043342514</v>
      </c>
      <c r="C10" s="3">
        <f t="shared" ref="C10:C16" si="0">-FV($E$10,1,0,B9)</f>
        <v>13163.822043342514</v>
      </c>
      <c r="D10" s="20" t="s">
        <v>5</v>
      </c>
      <c r="E10" s="22">
        <f>RATE(E9,0,E7,E8)</f>
        <v>9.595822638522121E-2</v>
      </c>
      <c r="F10" s="1" t="s">
        <v>1</v>
      </c>
    </row>
    <row r="11" spans="1:6" x14ac:dyDescent="0.3">
      <c r="A11" s="1">
        <v>4</v>
      </c>
      <c r="B11" s="3">
        <f>B10+B10*$E$10</f>
        <v>14426.999059072341</v>
      </c>
      <c r="C11" s="3">
        <f t="shared" si="0"/>
        <v>14426.999059072341</v>
      </c>
      <c r="F11" s="9"/>
    </row>
    <row r="12" spans="1:6" x14ac:dyDescent="0.3">
      <c r="A12" s="1">
        <v>5</v>
      </c>
      <c r="B12" s="3">
        <f t="shared" ref="B12:B17" si="1">B11+B11*$E$10</f>
        <v>15811.388300842178</v>
      </c>
      <c r="C12" s="3">
        <f t="shared" si="0"/>
        <v>15811.388300842178</v>
      </c>
      <c r="D12" s="9"/>
      <c r="E12" s="9"/>
      <c r="F12" s="9"/>
    </row>
    <row r="13" spans="1:6" x14ac:dyDescent="0.3">
      <c r="A13" s="1">
        <v>6</v>
      </c>
      <c r="B13" s="3">
        <f t="shared" si="1"/>
        <v>17328.62107887903</v>
      </c>
      <c r="C13" s="3">
        <f t="shared" si="0"/>
        <v>17328.62107887903</v>
      </c>
      <c r="D13" s="9"/>
      <c r="E13" s="9"/>
      <c r="F13" s="9"/>
    </row>
    <row r="14" spans="1:6" x14ac:dyDescent="0.3">
      <c r="A14" s="1">
        <v>7</v>
      </c>
      <c r="B14" s="3">
        <f t="shared" si="1"/>
        <v>18991.444823309819</v>
      </c>
      <c r="C14" s="3">
        <f t="shared" si="0"/>
        <v>18991.444823309819</v>
      </c>
      <c r="D14" s="9"/>
      <c r="E14" s="9"/>
      <c r="F14" s="9"/>
    </row>
    <row r="15" spans="1:6" x14ac:dyDescent="0.3">
      <c r="A15" s="1">
        <v>8</v>
      </c>
      <c r="B15" s="3">
        <f t="shared" si="1"/>
        <v>20813.83018504742</v>
      </c>
      <c r="C15" s="3">
        <f t="shared" si="0"/>
        <v>20813.83018504742</v>
      </c>
      <c r="D15" s="9"/>
      <c r="E15" s="9"/>
      <c r="F15" s="9"/>
    </row>
    <row r="16" spans="1:6" x14ac:dyDescent="0.3">
      <c r="A16" s="1">
        <v>9</v>
      </c>
      <c r="B16" s="3">
        <f t="shared" si="1"/>
        <v>22811.088413887752</v>
      </c>
      <c r="C16" s="3">
        <f t="shared" si="0"/>
        <v>22811.088413887752</v>
      </c>
      <c r="D16" s="9"/>
      <c r="E16" s="9"/>
      <c r="F16" s="9"/>
    </row>
    <row r="17" spans="1:6" x14ac:dyDescent="0.3">
      <c r="A17" s="14">
        <v>10</v>
      </c>
      <c r="B17" s="15">
        <f t="shared" si="1"/>
        <v>25000.000000000888</v>
      </c>
      <c r="C17" s="3">
        <f>-FV($E$10,1,0,B16)</f>
        <v>25000.000000000891</v>
      </c>
      <c r="D17" s="9"/>
      <c r="E17" s="9"/>
      <c r="F17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5700-24CA-444C-A82E-99BDF9E89248}">
  <dimension ref="A2:C10"/>
  <sheetViews>
    <sheetView showGridLines="0" zoomScale="130" zoomScaleNormal="130" workbookViewId="0"/>
  </sheetViews>
  <sheetFormatPr defaultRowHeight="14.4" x14ac:dyDescent="0.3"/>
  <cols>
    <col min="1" max="3" width="25" customWidth="1"/>
  </cols>
  <sheetData>
    <row r="2" spans="1:3" x14ac:dyDescent="0.3">
      <c r="A2" s="27" t="s">
        <v>14</v>
      </c>
      <c r="B2" s="27"/>
      <c r="C2" s="27"/>
    </row>
    <row r="3" spans="1:3" x14ac:dyDescent="0.3">
      <c r="A3" t="s">
        <v>17</v>
      </c>
      <c r="B3" t="s">
        <v>16</v>
      </c>
    </row>
    <row r="4" spans="1:3" x14ac:dyDescent="0.3">
      <c r="A4" s="32">
        <v>0.2</v>
      </c>
      <c r="B4" s="13" t="s">
        <v>1</v>
      </c>
      <c r="C4" s="13"/>
    </row>
    <row r="5" spans="1:3" x14ac:dyDescent="0.3">
      <c r="A5" s="35">
        <f>((1+A4)^(1/12))-1</f>
        <v>1.5309470499731193E-2</v>
      </c>
      <c r="B5" s="11" t="s">
        <v>3</v>
      </c>
      <c r="C5" s="13"/>
    </row>
    <row r="7" spans="1:3" x14ac:dyDescent="0.3">
      <c r="A7" s="27" t="s">
        <v>15</v>
      </c>
      <c r="B7" s="27"/>
      <c r="C7" s="27"/>
    </row>
    <row r="8" spans="1:3" x14ac:dyDescent="0.3">
      <c r="A8" t="s">
        <v>18</v>
      </c>
      <c r="B8" t="s">
        <v>19</v>
      </c>
    </row>
    <row r="9" spans="1:3" x14ac:dyDescent="0.3">
      <c r="A9" s="36">
        <v>0.01</v>
      </c>
      <c r="B9" s="13" t="s">
        <v>3</v>
      </c>
      <c r="C9" s="13"/>
    </row>
    <row r="10" spans="1:3" x14ac:dyDescent="0.3">
      <c r="A10" s="26">
        <f>((1+A9)^12)-1</f>
        <v>0.12682503013196977</v>
      </c>
      <c r="B10" s="11" t="s">
        <v>1</v>
      </c>
      <c r="C10" s="1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10F9-3505-46A4-8127-7C424CE2D231}">
  <dimension ref="A2:H54"/>
  <sheetViews>
    <sheetView showGridLines="0" zoomScale="110" zoomScaleNormal="110" workbookViewId="0"/>
  </sheetViews>
  <sheetFormatPr defaultRowHeight="14.4" x14ac:dyDescent="0.3"/>
  <cols>
    <col min="1" max="3" width="18" customWidth="1"/>
    <col min="4" max="4" width="11.5546875" bestFit="1" customWidth="1"/>
    <col min="5" max="5" width="10.5546875" bestFit="1" customWidth="1"/>
    <col min="6" max="6" width="13.33203125" bestFit="1" customWidth="1"/>
    <col min="7" max="8" width="13.88671875" bestFit="1" customWidth="1"/>
  </cols>
  <sheetData>
    <row r="2" spans="1:5" x14ac:dyDescent="0.3">
      <c r="A2" s="27" t="s">
        <v>26</v>
      </c>
      <c r="B2" s="27"/>
      <c r="C2" s="27"/>
    </row>
    <row r="3" spans="1:5" x14ac:dyDescent="0.3">
      <c r="A3" s="1"/>
      <c r="B3" s="25"/>
      <c r="C3" s="1"/>
    </row>
    <row r="4" spans="1:5" x14ac:dyDescent="0.3">
      <c r="A4" t="s">
        <v>22</v>
      </c>
      <c r="B4" s="3">
        <v>1000000</v>
      </c>
      <c r="C4" s="11"/>
    </row>
    <row r="5" spans="1:5" x14ac:dyDescent="0.3">
      <c r="A5" t="s">
        <v>23</v>
      </c>
      <c r="B5" s="1">
        <v>12</v>
      </c>
      <c r="C5" s="1" t="s">
        <v>24</v>
      </c>
    </row>
    <row r="6" spans="1:5" x14ac:dyDescent="0.3">
      <c r="A6" t="s">
        <v>0</v>
      </c>
      <c r="B6" s="25">
        <v>0.03</v>
      </c>
      <c r="C6" t="s">
        <v>3</v>
      </c>
    </row>
    <row r="7" spans="1:5" x14ac:dyDescent="0.3">
      <c r="A7" t="s">
        <v>25</v>
      </c>
      <c r="B7" s="31">
        <f>PMT(B6,B5,B4,0,0)</f>
        <v>-100462.08547296302</v>
      </c>
    </row>
    <row r="9" spans="1:5" x14ac:dyDescent="0.3">
      <c r="A9" t="s">
        <v>27</v>
      </c>
      <c r="B9" s="3">
        <f>B7*B5</f>
        <v>-1205545.0256755562</v>
      </c>
    </row>
    <row r="10" spans="1:5" x14ac:dyDescent="0.3">
      <c r="B10" s="3"/>
    </row>
    <row r="13" spans="1:5" x14ac:dyDescent="0.3">
      <c r="E13" s="33" t="s">
        <v>21</v>
      </c>
    </row>
    <row r="14" spans="1:5" x14ac:dyDescent="0.3">
      <c r="E14" s="28" t="s">
        <v>20</v>
      </c>
    </row>
    <row r="17" spans="2:8" x14ac:dyDescent="0.3">
      <c r="B17" s="29"/>
    </row>
    <row r="18" spans="2:8" x14ac:dyDescent="0.3">
      <c r="C18" s="3"/>
      <c r="G18" s="30"/>
    </row>
    <row r="19" spans="2:8" x14ac:dyDescent="0.3">
      <c r="C19" s="3"/>
      <c r="D19" s="30"/>
      <c r="E19" s="30"/>
      <c r="G19" s="30"/>
      <c r="H19" s="30"/>
    </row>
    <row r="20" spans="2:8" x14ac:dyDescent="0.3">
      <c r="C20" s="3"/>
      <c r="D20" s="30"/>
      <c r="E20" s="30"/>
      <c r="G20" s="30"/>
      <c r="H20" s="30"/>
    </row>
    <row r="21" spans="2:8" x14ac:dyDescent="0.3">
      <c r="G21" s="30"/>
      <c r="H21" s="30"/>
    </row>
    <row r="22" spans="2:8" x14ac:dyDescent="0.3">
      <c r="F22" s="29"/>
      <c r="G22" s="30"/>
      <c r="H22" s="30"/>
    </row>
    <row r="23" spans="2:8" x14ac:dyDescent="0.3">
      <c r="G23" s="30"/>
      <c r="H23" s="30"/>
    </row>
    <row r="24" spans="2:8" x14ac:dyDescent="0.3">
      <c r="C24" s="30"/>
      <c r="G24" s="30"/>
      <c r="H24" s="30"/>
    </row>
    <row r="25" spans="2:8" x14ac:dyDescent="0.3">
      <c r="C25" s="30"/>
      <c r="G25" s="30"/>
      <c r="H25" s="30"/>
    </row>
    <row r="26" spans="2:8" x14ac:dyDescent="0.3">
      <c r="G26" s="30"/>
      <c r="H26" s="30"/>
    </row>
    <row r="27" spans="2:8" x14ac:dyDescent="0.3">
      <c r="C27" s="34"/>
      <c r="G27" s="30"/>
      <c r="H27" s="30"/>
    </row>
    <row r="28" spans="2:8" x14ac:dyDescent="0.3">
      <c r="G28" s="30"/>
      <c r="H28" s="30"/>
    </row>
    <row r="29" spans="2:8" x14ac:dyDescent="0.3">
      <c r="G29" s="30"/>
      <c r="H29" s="30"/>
    </row>
    <row r="30" spans="2:8" x14ac:dyDescent="0.3">
      <c r="G30" s="30"/>
      <c r="H30" s="30"/>
    </row>
    <row r="31" spans="2:8" x14ac:dyDescent="0.3">
      <c r="G31" s="30"/>
      <c r="H31" s="30"/>
    </row>
    <row r="32" spans="2:8" x14ac:dyDescent="0.3">
      <c r="G32" s="30"/>
      <c r="H32" s="30"/>
    </row>
    <row r="33" spans="7:8" x14ac:dyDescent="0.3">
      <c r="G33" s="30"/>
      <c r="H33" s="30"/>
    </row>
    <row r="34" spans="7:8" x14ac:dyDescent="0.3">
      <c r="G34" s="30"/>
      <c r="H34" s="30"/>
    </row>
    <row r="35" spans="7:8" x14ac:dyDescent="0.3">
      <c r="G35" s="30"/>
      <c r="H35" s="30"/>
    </row>
    <row r="36" spans="7:8" x14ac:dyDescent="0.3">
      <c r="G36" s="30"/>
      <c r="H36" s="30"/>
    </row>
    <row r="37" spans="7:8" x14ac:dyDescent="0.3">
      <c r="G37" s="30"/>
      <c r="H37" s="30"/>
    </row>
    <row r="38" spans="7:8" x14ac:dyDescent="0.3">
      <c r="G38" s="30"/>
      <c r="H38" s="30"/>
    </row>
    <row r="39" spans="7:8" x14ac:dyDescent="0.3">
      <c r="G39" s="30"/>
      <c r="H39" s="30"/>
    </row>
    <row r="40" spans="7:8" x14ac:dyDescent="0.3">
      <c r="G40" s="30"/>
      <c r="H40" s="30"/>
    </row>
    <row r="41" spans="7:8" x14ac:dyDescent="0.3">
      <c r="G41" s="30"/>
      <c r="H41" s="30"/>
    </row>
    <row r="42" spans="7:8" x14ac:dyDescent="0.3">
      <c r="G42" s="30"/>
      <c r="H42" s="30"/>
    </row>
    <row r="43" spans="7:8" x14ac:dyDescent="0.3">
      <c r="G43" s="30"/>
      <c r="H43" s="30"/>
    </row>
    <row r="44" spans="7:8" x14ac:dyDescent="0.3">
      <c r="G44" s="30"/>
      <c r="H44" s="30"/>
    </row>
    <row r="45" spans="7:8" x14ac:dyDescent="0.3">
      <c r="G45" s="30"/>
      <c r="H45" s="30"/>
    </row>
    <row r="46" spans="7:8" x14ac:dyDescent="0.3">
      <c r="G46" s="30"/>
      <c r="H46" s="30"/>
    </row>
    <row r="47" spans="7:8" x14ac:dyDescent="0.3">
      <c r="G47" s="30"/>
      <c r="H47" s="30"/>
    </row>
    <row r="48" spans="7:8" x14ac:dyDescent="0.3">
      <c r="G48" s="30"/>
      <c r="H48" s="30"/>
    </row>
    <row r="49" spans="7:8" x14ac:dyDescent="0.3">
      <c r="G49" s="30"/>
      <c r="H49" s="30"/>
    </row>
    <row r="50" spans="7:8" x14ac:dyDescent="0.3">
      <c r="G50" s="30"/>
      <c r="H50" s="30"/>
    </row>
    <row r="51" spans="7:8" x14ac:dyDescent="0.3">
      <c r="G51" s="30"/>
      <c r="H51" s="30"/>
    </row>
    <row r="52" spans="7:8" x14ac:dyDescent="0.3">
      <c r="G52" s="30"/>
      <c r="H52" s="30"/>
    </row>
    <row r="53" spans="7:8" x14ac:dyDescent="0.3">
      <c r="G53" s="30"/>
      <c r="H53" s="30"/>
    </row>
    <row r="54" spans="7:8" x14ac:dyDescent="0.3">
      <c r="G54" s="30"/>
      <c r="H54" s="30"/>
    </row>
  </sheetData>
  <hyperlinks>
    <hyperlink ref="E14" r:id="rId1" xr:uid="{C3040B6E-07ED-4237-89E4-49FB86AB4885}"/>
  </hyperlinks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E707-9DC9-4B8A-958E-1E11D9D2AE3F}">
  <dimension ref="A2:C17"/>
  <sheetViews>
    <sheetView showGridLines="0" zoomScale="130" zoomScaleNormal="130" workbookViewId="0"/>
  </sheetViews>
  <sheetFormatPr defaultRowHeight="14.4" x14ac:dyDescent="0.3"/>
  <cols>
    <col min="1" max="4" width="16.21875" customWidth="1"/>
  </cols>
  <sheetData>
    <row r="2" spans="1:3" x14ac:dyDescent="0.3">
      <c r="A2" s="16" t="s">
        <v>38</v>
      </c>
      <c r="B2" s="16"/>
      <c r="C2" s="16"/>
    </row>
    <row r="5" spans="1:3" x14ac:dyDescent="0.3">
      <c r="A5" s="39" t="s">
        <v>34</v>
      </c>
      <c r="B5" s="40">
        <v>0.11</v>
      </c>
      <c r="C5" s="39" t="s">
        <v>1</v>
      </c>
    </row>
    <row r="6" spans="1:3" x14ac:dyDescent="0.3">
      <c r="A6" t="s">
        <v>35</v>
      </c>
      <c r="B6" s="3">
        <f>NPV(B5,B12:B17)+B11</f>
        <v>153290.84897181578</v>
      </c>
    </row>
    <row r="10" spans="1:3" x14ac:dyDescent="0.3">
      <c r="A10" s="38" t="s">
        <v>13</v>
      </c>
      <c r="B10" s="38" t="s">
        <v>32</v>
      </c>
      <c r="C10" s="38" t="s">
        <v>33</v>
      </c>
    </row>
    <row r="11" spans="1:3" x14ac:dyDescent="0.3">
      <c r="A11" s="9">
        <v>0</v>
      </c>
      <c r="B11" s="37">
        <v>-10000000</v>
      </c>
      <c r="C11" s="37"/>
    </row>
    <row r="12" spans="1:3" x14ac:dyDescent="0.3">
      <c r="A12" s="9">
        <v>1</v>
      </c>
      <c r="B12" s="37">
        <v>2400000</v>
      </c>
      <c r="C12" s="37"/>
    </row>
    <row r="13" spans="1:3" x14ac:dyDescent="0.3">
      <c r="A13" s="9">
        <v>2</v>
      </c>
      <c r="B13" s="37">
        <v>2400000</v>
      </c>
      <c r="C13" s="37"/>
    </row>
    <row r="14" spans="1:3" x14ac:dyDescent="0.3">
      <c r="A14" s="9">
        <v>3</v>
      </c>
      <c r="B14" s="37">
        <v>2400000</v>
      </c>
      <c r="C14" s="37"/>
    </row>
    <row r="15" spans="1:3" x14ac:dyDescent="0.3">
      <c r="A15" s="9">
        <v>4</v>
      </c>
      <c r="B15" s="37">
        <v>2400000</v>
      </c>
      <c r="C15" s="37"/>
    </row>
    <row r="16" spans="1:3" x14ac:dyDescent="0.3">
      <c r="A16" s="9">
        <v>5</v>
      </c>
      <c r="B16" s="37">
        <v>2400000</v>
      </c>
      <c r="C16" s="37"/>
    </row>
    <row r="17" spans="1:3" x14ac:dyDescent="0.3">
      <c r="A17" s="9">
        <v>6</v>
      </c>
      <c r="B17" s="37">
        <v>2400000</v>
      </c>
      <c r="C17" s="37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1D05-D9E6-44E8-8DC5-ED1BA42FFFB9}">
  <dimension ref="A2:C21"/>
  <sheetViews>
    <sheetView showGridLines="0" zoomScale="130" zoomScaleNormal="130" workbookViewId="0"/>
  </sheetViews>
  <sheetFormatPr defaultRowHeight="14.4" x14ac:dyDescent="0.3"/>
  <cols>
    <col min="1" max="4" width="16.21875" customWidth="1"/>
  </cols>
  <sheetData>
    <row r="2" spans="1:3" x14ac:dyDescent="0.3">
      <c r="A2" s="16" t="s">
        <v>39</v>
      </c>
      <c r="B2" s="16"/>
      <c r="C2" s="16"/>
    </row>
    <row r="5" spans="1:3" x14ac:dyDescent="0.3">
      <c r="A5" t="s">
        <v>34</v>
      </c>
      <c r="B5" s="42">
        <f>B7</f>
        <v>0.11530473216474246</v>
      </c>
      <c r="C5" t="s">
        <v>1</v>
      </c>
    </row>
    <row r="6" spans="1:3" x14ac:dyDescent="0.3">
      <c r="A6" t="s">
        <v>35</v>
      </c>
      <c r="B6" s="3">
        <f>NPV(B5,B12:B17)+B11</f>
        <v>0</v>
      </c>
    </row>
    <row r="7" spans="1:3" x14ac:dyDescent="0.3">
      <c r="A7" t="s">
        <v>36</v>
      </c>
      <c r="B7" s="41">
        <f>IRR(B11:B17)</f>
        <v>0.11530473216474246</v>
      </c>
    </row>
    <row r="10" spans="1:3" x14ac:dyDescent="0.3">
      <c r="A10" s="38" t="s">
        <v>13</v>
      </c>
      <c r="B10" s="38" t="s">
        <v>32</v>
      </c>
      <c r="C10" s="38" t="s">
        <v>33</v>
      </c>
    </row>
    <row r="11" spans="1:3" x14ac:dyDescent="0.3">
      <c r="A11" s="9">
        <v>0</v>
      </c>
      <c r="B11" s="37">
        <v>-10000000</v>
      </c>
      <c r="C11" s="37"/>
    </row>
    <row r="12" spans="1:3" x14ac:dyDescent="0.3">
      <c r="A12" s="9">
        <v>1</v>
      </c>
      <c r="B12" s="37">
        <v>2400000</v>
      </c>
      <c r="C12" s="37"/>
    </row>
    <row r="13" spans="1:3" x14ac:dyDescent="0.3">
      <c r="A13" s="9">
        <v>2</v>
      </c>
      <c r="B13" s="37">
        <v>2400000</v>
      </c>
      <c r="C13" s="37"/>
    </row>
    <row r="14" spans="1:3" x14ac:dyDescent="0.3">
      <c r="A14" s="9">
        <v>3</v>
      </c>
      <c r="B14" s="37">
        <v>2400000</v>
      </c>
      <c r="C14" s="37"/>
    </row>
    <row r="15" spans="1:3" x14ac:dyDescent="0.3">
      <c r="A15" s="9">
        <v>4</v>
      </c>
      <c r="B15" s="37">
        <v>2400000</v>
      </c>
      <c r="C15" s="37"/>
    </row>
    <row r="16" spans="1:3" x14ac:dyDescent="0.3">
      <c r="A16" s="9">
        <v>5</v>
      </c>
      <c r="B16" s="37">
        <v>2400000</v>
      </c>
      <c r="C16" s="37"/>
    </row>
    <row r="17" spans="1:3" x14ac:dyDescent="0.3">
      <c r="A17" s="9">
        <v>6</v>
      </c>
      <c r="B17" s="37">
        <v>2400000</v>
      </c>
      <c r="C17" s="37"/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45</v>
      </c>
      <c r="C20" t="s">
        <v>46</v>
      </c>
    </row>
    <row r="21" spans="1:3" x14ac:dyDescent="0.3">
      <c r="A21" t="s">
        <v>47</v>
      </c>
      <c r="B21" t="s">
        <v>48</v>
      </c>
      <c r="C21" t="s">
        <v>49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8ADC-37A7-449B-A130-FBEA2CBC0591}">
  <dimension ref="A2:D17"/>
  <sheetViews>
    <sheetView showGridLines="0" zoomScale="130" zoomScaleNormal="130" workbookViewId="0"/>
  </sheetViews>
  <sheetFormatPr defaultRowHeight="14.4" x14ac:dyDescent="0.3"/>
  <cols>
    <col min="1" max="4" width="16.21875" customWidth="1"/>
  </cols>
  <sheetData>
    <row r="2" spans="1:4" x14ac:dyDescent="0.3">
      <c r="A2" s="16" t="s">
        <v>40</v>
      </c>
      <c r="B2" s="16"/>
      <c r="C2" s="16"/>
    </row>
    <row r="5" spans="1:4" x14ac:dyDescent="0.3">
      <c r="A5" t="s">
        <v>34</v>
      </c>
      <c r="B5" s="45">
        <v>0.05</v>
      </c>
      <c r="C5" s="46" t="s">
        <v>1</v>
      </c>
    </row>
    <row r="6" spans="1:4" x14ac:dyDescent="0.3">
      <c r="A6" t="s">
        <v>35</v>
      </c>
      <c r="B6" s="47">
        <f>NPV(B5,B12:B17)+B11</f>
        <v>2181660.9614418708</v>
      </c>
      <c r="C6" s="46"/>
    </row>
    <row r="7" spans="1:4" x14ac:dyDescent="0.3">
      <c r="A7" t="s">
        <v>36</v>
      </c>
      <c r="B7" s="48">
        <f>IRR(B11:B17)</f>
        <v>0.11530473216474246</v>
      </c>
      <c r="C7" s="46" t="s">
        <v>1</v>
      </c>
    </row>
    <row r="8" spans="1:4" x14ac:dyDescent="0.3">
      <c r="A8" t="s">
        <v>37</v>
      </c>
      <c r="B8" s="44">
        <f>COUNTIF(D11:D17,"&lt;0")</f>
        <v>5</v>
      </c>
      <c r="C8" s="46" t="s">
        <v>7</v>
      </c>
    </row>
    <row r="10" spans="1:4" x14ac:dyDescent="0.3">
      <c r="A10" s="38" t="s">
        <v>13</v>
      </c>
      <c r="B10" s="38" t="s">
        <v>51</v>
      </c>
      <c r="C10" s="38" t="s">
        <v>50</v>
      </c>
      <c r="D10" s="38" t="s">
        <v>33</v>
      </c>
    </row>
    <row r="11" spans="1:4" x14ac:dyDescent="0.3">
      <c r="A11" s="9">
        <v>0</v>
      </c>
      <c r="B11" s="37">
        <v>-10000000</v>
      </c>
      <c r="C11" s="37">
        <v>-10000000</v>
      </c>
      <c r="D11" s="37">
        <v>-10000000</v>
      </c>
    </row>
    <row r="12" spans="1:4" x14ac:dyDescent="0.3">
      <c r="A12" s="9">
        <v>1</v>
      </c>
      <c r="B12" s="37">
        <v>2400000</v>
      </c>
      <c r="C12" s="43"/>
      <c r="D12" s="37">
        <f t="shared" ref="D12:D17" si="0">D11+B12</f>
        <v>-7600000</v>
      </c>
    </row>
    <row r="13" spans="1:4" x14ac:dyDescent="0.3">
      <c r="A13" s="9">
        <v>2</v>
      </c>
      <c r="B13" s="37">
        <v>2400000</v>
      </c>
      <c r="C13" s="43"/>
      <c r="D13" s="37">
        <f t="shared" si="0"/>
        <v>-5200000</v>
      </c>
    </row>
    <row r="14" spans="1:4" x14ac:dyDescent="0.3">
      <c r="A14" s="9">
        <v>3</v>
      </c>
      <c r="B14" s="37">
        <v>2400000</v>
      </c>
      <c r="C14" s="43"/>
      <c r="D14" s="37">
        <f t="shared" si="0"/>
        <v>-2800000</v>
      </c>
    </row>
    <row r="15" spans="1:4" x14ac:dyDescent="0.3">
      <c r="A15" s="9">
        <v>4</v>
      </c>
      <c r="B15" s="37">
        <v>2400000</v>
      </c>
      <c r="C15" s="43"/>
      <c r="D15" s="37">
        <f t="shared" si="0"/>
        <v>-400000</v>
      </c>
    </row>
    <row r="16" spans="1:4" x14ac:dyDescent="0.3">
      <c r="A16" s="9">
        <v>5</v>
      </c>
      <c r="B16" s="37">
        <v>2400000</v>
      </c>
      <c r="C16" s="43"/>
      <c r="D16" s="37">
        <f t="shared" si="0"/>
        <v>2000000</v>
      </c>
    </row>
    <row r="17" spans="1:4" x14ac:dyDescent="0.3">
      <c r="A17" s="9">
        <v>6</v>
      </c>
      <c r="B17" s="37">
        <v>2400000</v>
      </c>
      <c r="C17" s="43"/>
      <c r="D17" s="37">
        <f t="shared" si="0"/>
        <v>4400000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Porcentagem</vt:lpstr>
      <vt:lpstr>Juro Simples vs Composto</vt:lpstr>
      <vt:lpstr>Valor Futuro (VF)</vt:lpstr>
      <vt:lpstr>Tempo (NPER)</vt:lpstr>
      <vt:lpstr>Taxa (TAXA)</vt:lpstr>
      <vt:lpstr>Fluxo de Rendimento</vt:lpstr>
      <vt:lpstr>Conversão de Taxa</vt:lpstr>
      <vt:lpstr>Pagamentos Parcelados (PGTO)</vt:lpstr>
      <vt:lpstr>VPL</vt:lpstr>
      <vt:lpstr>TIR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2020-09-01T19:54:19Z</dcterms:created>
  <dcterms:modified xsi:type="dcterms:W3CDTF">2021-08-03T22:28:10Z</dcterms:modified>
</cp:coreProperties>
</file>